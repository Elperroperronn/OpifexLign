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UTN\II-2026\ISW-521\MiniProyecto\"/>
    </mc:Choice>
  </mc:AlternateContent>
  <xr:revisionPtr revIDLastSave="0" documentId="13_ncr:1_{93A72416-48C5-47A2-B0DF-5A9BCC24899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quip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0" i="1" l="1"/>
  <c r="E170" i="1" s="1"/>
  <c r="E145" i="1"/>
  <c r="B141" i="1" l="1"/>
  <c r="E3" i="1"/>
  <c r="E4" i="1" s="1"/>
  <c r="C132" i="1"/>
  <c r="E138" i="1" s="1"/>
  <c r="C119" i="1"/>
  <c r="E128" i="1" s="1"/>
  <c r="C109" i="1"/>
  <c r="E115" i="1" s="1"/>
  <c r="C96" i="1"/>
  <c r="E105" i="1" s="1"/>
  <c r="C83" i="1"/>
  <c r="E92" i="1" s="1"/>
  <c r="C73" i="1"/>
  <c r="E79" i="1" s="1"/>
  <c r="C52" i="1"/>
  <c r="E69" i="1" s="1"/>
  <c r="C31" i="1"/>
  <c r="E48" i="1" s="1"/>
  <c r="C16" i="1"/>
  <c r="E27" i="1" s="1"/>
  <c r="C7" i="1"/>
  <c r="E12" i="1" s="1"/>
  <c r="E141" i="1" l="1"/>
  <c r="E155" i="1"/>
</calcChain>
</file>

<file path=xl/sharedStrings.xml><?xml version="1.0" encoding="utf-8"?>
<sst xmlns="http://schemas.openxmlformats.org/spreadsheetml/2006/main" count="490" uniqueCount="369">
  <si>
    <t>Problema real claramente definido</t>
  </si>
  <si>
    <t>Explica claramente el problema, usuarios afectados y necesidad real.</t>
  </si>
  <si>
    <t>El problema existe pero está poco detallado o ambiguo.</t>
  </si>
  <si>
    <t>No se comprende el problema o no existe relación con una necesidad real.</t>
  </si>
  <si>
    <t>Relación entre problema y solución</t>
  </si>
  <si>
    <t>La solución propuesta responde claramente al problema identificado.</t>
  </si>
  <si>
    <t>La solución tiene relación parcial con el problema.</t>
  </si>
  <si>
    <t>La solución no resuelve el problema planteado.</t>
  </si>
  <si>
    <t>Público objetivo identificado</t>
  </si>
  <si>
    <t>Se identifican claramente los usuarios y sus necesidades.</t>
  </si>
  <si>
    <t>El público objetivo es poco claro o incompleto.</t>
  </si>
  <si>
    <t>No se identifica el público objetivo.</t>
  </si>
  <si>
    <t>Flujo general del sistema</t>
  </si>
  <si>
    <t>Se comprende claramente cómo interactúa el usuario con el sistema.</t>
  </si>
  <si>
    <t>El flujo tiene vacíos o poca claridad.</t>
  </si>
  <si>
    <t>No existe flujo funcional claro.</t>
  </si>
  <si>
    <t>Encabezado y menú funcional</t>
  </si>
  <si>
    <t>Header y navegación completos, organizados y funcionales en todas las páginas.</t>
  </si>
  <si>
    <t>Existe navegación pero presenta problemas o inconsistencias.</t>
  </si>
  <si>
    <t>No existe menú funcional o faltan páginas.</t>
  </si>
  <si>
    <t>Presentación del problema</t>
  </si>
  <si>
    <t>Explica claramente el problema y propósito del sistema.</t>
  </si>
  <si>
    <t>La explicación es superficial o incompleta.</t>
  </si>
  <si>
    <t>No se comprende el propósito del sistema.</t>
  </si>
  <si>
    <t>Público objetivo y solución propuesta</t>
  </si>
  <si>
    <t>Explica claramente a quién va dirigido y qué hace el sistema.</t>
  </si>
  <si>
    <t>Información parcial o poco clara.</t>
  </si>
  <si>
    <t>No se incluye o no se comprende.</t>
  </si>
  <si>
    <t>Sección visual principal</t>
  </si>
  <si>
    <t>Existe una sección destacada atractiva y bien organizada visualmente.</t>
  </si>
  <si>
    <t>Existe pero tiene poco impacto visual o mala organización.</t>
  </si>
  <si>
    <t>No existe sección principal destacada.</t>
  </si>
  <si>
    <t>Botón de acción principal</t>
  </si>
  <si>
    <t>El botón es visible, claro y funcional.</t>
  </si>
  <si>
    <t>El botón existe pero es poco claro o presenta errores.</t>
  </si>
  <si>
    <t>No existe o no funciona.</t>
  </si>
  <si>
    <t>Contenido dinámico desde JSON</t>
  </si>
  <si>
    <t>La página carga contenido dinámicamente desde JSON correctamente.</t>
  </si>
  <si>
    <t>El JSON se usa parcialmente o con errores.</t>
  </si>
  <si>
    <t>No utiliza JSON o no funciona.</t>
  </si>
  <si>
    <t>Interacción inmediata con JavaScript</t>
  </si>
  <si>
    <t>Existe interacción inmediata funcional y útil.</t>
  </si>
  <si>
    <t>Existe interacción limitada o poco funcional.</t>
  </si>
  <si>
    <t>No existe interacción dinámica.</t>
  </si>
  <si>
    <t>Diseño responsivo</t>
  </si>
  <si>
    <t>La página se adapta correctamente a celular y escritorio.</t>
  </si>
  <si>
    <t>Presenta errores menores de adaptación.</t>
  </si>
  <si>
    <t>El diseño se rompe o no es responsivo.</t>
  </si>
  <si>
    <t>Uso de HTML semántico</t>
  </si>
  <si>
    <t>Uso parcial o incorrecto de etiquetas semánticas.</t>
  </si>
  <si>
    <t>No usa estructura semántica.</t>
  </si>
  <si>
    <t>Accesibilidad básica</t>
  </si>
  <si>
    <t>Presenta algunos problemas de accesibilidad.</t>
  </si>
  <si>
    <t>No considera accesibilidad básica.</t>
  </si>
  <si>
    <t>Lectura de archivo JSON</t>
  </si>
  <si>
    <t>Lee y procesa correctamente información desde JSON.</t>
  </si>
  <si>
    <t>El JSON funciona parcialmente o con errores.</t>
  </si>
  <si>
    <t>No utiliza JSON correctamente.</t>
  </si>
  <si>
    <t>Renderizado dinámico del contenido</t>
  </si>
  <si>
    <t>Los elementos son generados dinámicamente mediante JavaScript.</t>
  </si>
  <si>
    <t>Parte del contenido es dinámico pero incompleto.</t>
  </si>
  <si>
    <t>El contenido está escrito manualmente en HTML.</t>
  </si>
  <si>
    <t>Listado dinámico de elementos</t>
  </si>
  <si>
    <t>Muestra correctamente múltiples elementos funcionales e interactivos.</t>
  </si>
  <si>
    <t>El listado existe pero es limitado o incompleto.</t>
  </si>
  <si>
    <t>No existe listado dinámico.</t>
  </si>
  <si>
    <t>Campo de búsqueda instantánea</t>
  </si>
  <si>
    <t>La búsqueda funciona inmediatamente mientras el usuario escribe.</t>
  </si>
  <si>
    <t>La búsqueda funciona parcialmente o con errores.</t>
  </si>
  <si>
    <t>No existe búsqueda funcional.</t>
  </si>
  <si>
    <t>Sistema de filtros</t>
  </si>
  <si>
    <t>Los filtros funcionan correctamente y afectan resultados visibles.</t>
  </si>
  <si>
    <t>Los filtros funcionan parcialmente.</t>
  </si>
  <si>
    <t>No existen filtros funcionales.</t>
  </si>
  <si>
    <t>Integración entre búsqueda y filtros</t>
  </si>
  <si>
    <t>Búsqueda y filtros trabajan conjuntamente correctamente.</t>
  </si>
  <si>
    <t>Funcionan separados o con errores de integración.</t>
  </si>
  <si>
    <t>No existe integración.</t>
  </si>
  <si>
    <t>Selección o modificación de elementos</t>
  </si>
  <si>
    <t>El usuario puede interactuar correctamente con los elementos.</t>
  </si>
  <si>
    <t>La interacción es limitada o incompleta.</t>
  </si>
  <si>
    <t>No existe interacción sobre elementos.</t>
  </si>
  <si>
    <t>Respuesta inmediata de interfaz</t>
  </si>
  <si>
    <t>Los cambios se reflejan inmediatamente sin recargar.</t>
  </si>
  <si>
    <t>Algunos cambios requieren recarga o fallan.</t>
  </si>
  <si>
    <t>No existe actualización inmediata.</t>
  </si>
  <si>
    <t>Retroalimentación visual</t>
  </si>
  <si>
    <t>El sistema muestra mensajes, cambios visuales o estados claros.</t>
  </si>
  <si>
    <t>La retroalimentación es limitada o inconsistente.</t>
  </si>
  <si>
    <t>No existe retroalimentación visual.</t>
  </si>
  <si>
    <t>Estados vacíos</t>
  </si>
  <si>
    <t>El sistema informa claramente cuando no hay resultados.</t>
  </si>
  <si>
    <t>Existe mensaje pero es poco claro o incompleto.</t>
  </si>
  <si>
    <t>No existen estados vacíos.</t>
  </si>
  <si>
    <t>Procesamiento de datos con JavaScript</t>
  </si>
  <si>
    <t>Realiza cálculos, conteos o procesamiento funcional.</t>
  </si>
  <si>
    <t>El procesamiento es limitado o incompleto.</t>
  </si>
  <si>
    <t>No existe procesamiento dinámico.</t>
  </si>
  <si>
    <t>Persistencia con localStorage</t>
  </si>
  <si>
    <t>Guarda correctamente información importante del sistema.</t>
  </si>
  <si>
    <t>Guarda parcialmente o con errores.</t>
  </si>
  <si>
    <t>No utiliza localStorage.</t>
  </si>
  <si>
    <t>Recuperación automática de datos</t>
  </si>
  <si>
    <t>Recupera correctamente datos almacenados.</t>
  </si>
  <si>
    <t>Recupera parcialmente o con errores.</t>
  </si>
  <si>
    <t>No recupera datos guardados.</t>
  </si>
  <si>
    <t>Organización visual de resultados</t>
  </si>
  <si>
    <t>Usa correctamente Flexbox o Grid para organizar contenido.</t>
  </si>
  <si>
    <t>Organización parcial o poco consistente.</t>
  </si>
  <si>
    <t>El contenido está desordenado.</t>
  </si>
  <si>
    <t>Diseño usable y navegable</t>
  </si>
  <si>
    <t>La interacción es clara, intuitiva y fácil de comprender.</t>
  </si>
  <si>
    <t>La navegación genera algunas dudas o confusión.</t>
  </si>
  <si>
    <t>El sistema es difícil de utilizar.</t>
  </si>
  <si>
    <t>Compatibilidad responsiva</t>
  </si>
  <si>
    <t>Toda la funcionalidad funciona en móvil y escritorio.</t>
  </si>
  <si>
    <t>Presenta problemas menores en algunos tamaños.</t>
  </si>
  <si>
    <t>La funcionalidad falla en dispositivos móviles.</t>
  </si>
  <si>
    <t>Página de Solución Interactiva</t>
  </si>
  <si>
    <t>Página de Inicio</t>
  </si>
  <si>
    <t>Problema real y planeación de la solución</t>
  </si>
  <si>
    <t>Página de Registro o Gestión</t>
  </si>
  <si>
    <t>Formulario funcional</t>
  </si>
  <si>
    <t>El formulario tiene sentido y funciona correctamente.</t>
  </si>
  <si>
    <t>El formulario funciona parcialmente.</t>
  </si>
  <si>
    <t>El formulario no funciona o es decorativo.</t>
  </si>
  <si>
    <t>Uso correcto de labels</t>
  </si>
  <si>
    <t>Todos los campos tienen labels claros y asociados correctamente.</t>
  </si>
  <si>
    <t>Faltan algunos labels o están mal asociados.</t>
  </si>
  <si>
    <t>No utiliza labels correctamente.</t>
  </si>
  <si>
    <t>Validación en tiempo real</t>
  </si>
  <si>
    <t>Muestra validaciones inmediatas mientras el usuario escribe.</t>
  </si>
  <si>
    <t>Las validaciones existen pero son limitadas.</t>
  </si>
  <si>
    <t>No existe validación en tiempo real.</t>
  </si>
  <si>
    <t>Validación al enviar</t>
  </si>
  <si>
    <t>Impide correctamente registros inválidos.</t>
  </si>
  <si>
    <t>Valida parcialmente o con errores.</t>
  </si>
  <si>
    <t>Permite guardar información inválida.</t>
  </si>
  <si>
    <t>Mensajes dinámicos de error</t>
  </si>
  <si>
    <t>Los mensajes son visibles, claros y útiles.</t>
  </si>
  <si>
    <t>Los mensajes existen pero son poco claros.</t>
  </si>
  <si>
    <t>No existen mensajes de error.</t>
  </si>
  <si>
    <t>Mensajes de confirmación</t>
  </si>
  <si>
    <t>Informa correctamente cuando una acción fue exitosa.</t>
  </si>
  <si>
    <t>La confirmación es poco visible o inconsistente.</t>
  </si>
  <si>
    <t>No existen mensajes de confirmación.</t>
  </si>
  <si>
    <t>Registro dinámico de información</t>
  </si>
  <si>
    <t>Los registros aparecen automáticamente en pantalla.</t>
  </si>
  <si>
    <t>El registro es parcial o poco dinámico.</t>
  </si>
  <si>
    <t>No agrega información dinámicamente.</t>
  </si>
  <si>
    <t>Guarda registros correctamente.</t>
  </si>
  <si>
    <t>No guarda información.</t>
  </si>
  <si>
    <t>Recuperación automática de registros</t>
  </si>
  <si>
    <t>Recupera correctamente los registros almacenados.</t>
  </si>
  <si>
    <t>No recupera registros.</t>
  </si>
  <si>
    <t>Eliminación de registros</t>
  </si>
  <si>
    <t>Permite eliminar elementos específicos correctamente.</t>
  </si>
  <si>
    <t>Elimina parcialmente o con errores.</t>
  </si>
  <si>
    <t>No permite eliminar registros.</t>
  </si>
  <si>
    <t>Limpieza controlada</t>
  </si>
  <si>
    <t>Permite limpiar información mostrando confirmación visual.</t>
  </si>
  <si>
    <t>Existe limpieza pero sin control adecuado.</t>
  </si>
  <si>
    <t>No existe limpieza funcional.</t>
  </si>
  <si>
    <t>Prevención de errores del usuario</t>
  </si>
  <si>
    <t>Ayuda claramente al usuario a corregir errores.</t>
  </si>
  <si>
    <t>La ayuda es limitada.</t>
  </si>
  <si>
    <t>No previene errores del usuario.</t>
  </si>
  <si>
    <t>Actualización inmediata de interfaz</t>
  </si>
  <si>
    <t>Los cambios se reflejan inmediatamente.</t>
  </si>
  <si>
    <t>Algunos cambios requieren recarga.</t>
  </si>
  <si>
    <t>Diseño organizado</t>
  </si>
  <si>
    <t>Formularios y registros están alineados y ordenados.</t>
  </si>
  <si>
    <t>La organización es parcial o inconsistente.</t>
  </si>
  <si>
    <t>El diseño está desordenado.</t>
  </si>
  <si>
    <t>Adaptación responsiva</t>
  </si>
  <si>
    <t>Formularios y registros funcionan correctamente en móvil.</t>
  </si>
  <si>
    <t>Presenta problemas menores de adaptación.</t>
  </si>
  <si>
    <t>No funciona correctamente en móvil.</t>
  </si>
  <si>
    <t>Integración con navegación general</t>
  </si>
  <si>
    <t>La página mantiene coherencia con el resto del sistema.</t>
  </si>
  <si>
    <t>Presenta inconsistencias menores.</t>
  </si>
  <si>
    <t>Parece separada del resto del sistema.</t>
  </si>
  <si>
    <t>HTML</t>
  </si>
  <si>
    <t>Títulos jerárquicos</t>
  </si>
  <si>
    <t>Uso parcial o inconsistente.</t>
  </si>
  <si>
    <t>No existe jerarquía clara.</t>
  </si>
  <si>
    <t>Formularios accesibles</t>
  </si>
  <si>
    <t>Todos los campos tienen labels funcionales.</t>
  </si>
  <si>
    <t>Algunos campos carecen de labels.</t>
  </si>
  <si>
    <t>Imágenes accesibles</t>
  </si>
  <si>
    <t>Navegación completa</t>
  </si>
  <si>
    <t>Todas las páginas están enlazadas correctamente.</t>
  </si>
  <si>
    <t>Algunos enlaces fallan.</t>
  </si>
  <si>
    <t>La navegación es incompleta.</t>
  </si>
  <si>
    <t>Código ordenado</t>
  </si>
  <si>
    <t>HTML organizado y bien estructurado.</t>
  </si>
  <si>
    <t>Presenta desorden o errores menores.</t>
  </si>
  <si>
    <t>Código desordenado o incorrecto.</t>
  </si>
  <si>
    <t>CSS y Diseño Responsivo</t>
  </si>
  <si>
    <t>CSS externo</t>
  </si>
  <si>
    <t>Uso parcial de estilos internos.</t>
  </si>
  <si>
    <t>No usa CSS externo correctamente.</t>
  </si>
  <si>
    <t>El sitio se adapta correctamente a diferentes pantallas.</t>
  </si>
  <si>
    <t>No es responsivo.</t>
  </si>
  <si>
    <t>Media queries</t>
  </si>
  <si>
    <t>Utiliza media queries correctamente.</t>
  </si>
  <si>
    <t>Uso limitado o incompleto.</t>
  </si>
  <si>
    <t>No utiliza media queries.</t>
  </si>
  <si>
    <t>Uso de Flexbox o Grid</t>
  </si>
  <si>
    <t>Organiza correctamente el contenido.</t>
  </si>
  <si>
    <t>No utiliza Flexbox ni Grid.</t>
  </si>
  <si>
    <t>Jerarquía visual</t>
  </si>
  <si>
    <t>Diferencia claramente títulos, botones y contenido.</t>
  </si>
  <si>
    <t>Jerarquía visual limitada.</t>
  </si>
  <si>
    <t>Todo luce visualmente igual.</t>
  </si>
  <si>
    <t>Consistencia visual</t>
  </si>
  <si>
    <t>Mantiene identidad gráfica uniforme.</t>
  </si>
  <si>
    <t>El diseño cambia entre páginas.</t>
  </si>
  <si>
    <t>Estados visuales</t>
  </si>
  <si>
    <t>Botones y elementos responden visualmente.</t>
  </si>
  <si>
    <t>Algunos elementos carecen de estados.</t>
  </si>
  <si>
    <t>No existen estados visuales.</t>
  </si>
  <si>
    <t>Legibilidad</t>
  </si>
  <si>
    <t>Textos, tamaños y contraste son adecuados.</t>
  </si>
  <si>
    <t>Presenta problemas menores de lectura.</t>
  </si>
  <si>
    <t>El contenido es difícil de leer.</t>
  </si>
  <si>
    <t>JavaScript</t>
  </si>
  <si>
    <t>La lógica está correctamente separada del HTML.</t>
  </si>
  <si>
    <t>Separación parcial.</t>
  </si>
  <si>
    <t>Todo el JS está incrustado en HTML.</t>
  </si>
  <si>
    <t>Uso de eventos</t>
  </si>
  <si>
    <t>Uso limitado o parcial.</t>
  </si>
  <si>
    <t>No utiliza eventos correctamente.</t>
  </si>
  <si>
    <t>Organización en funciones</t>
  </si>
  <si>
    <t>La lógica está organizada en funciones reutilizables.</t>
  </si>
  <si>
    <t>Organización parcial.</t>
  </si>
  <si>
    <t>Código repetitivo o desordenado.</t>
  </si>
  <si>
    <t>Manipulación del DOM</t>
  </si>
  <si>
    <t>Modifica dinámicamente elementos correctamente.</t>
  </si>
  <si>
    <t>Manipulación parcial o limitada.</t>
  </si>
  <si>
    <t>No manipula el DOM.</t>
  </si>
  <si>
    <t>Uso de arreglos y objetos</t>
  </si>
  <si>
    <t>Procesa correctamente colecciones de datos.</t>
  </si>
  <si>
    <t>Uso limitado.</t>
  </si>
  <si>
    <t>No utiliza arreglos u objetos correctamente.</t>
  </si>
  <si>
    <t>Condicionales</t>
  </si>
  <si>
    <t>Implementa decisiones lógicas correctamente.</t>
  </si>
  <si>
    <t>Implementación parcial.</t>
  </si>
  <si>
    <t>No existen condicionales funcionales.</t>
  </si>
  <si>
    <t>Validaciones</t>
  </si>
  <si>
    <t>Impide acciones inválidas correctamente.</t>
  </si>
  <si>
    <t>Validaciones incompletas.</t>
  </si>
  <si>
    <t>No existen validaciones funcionales.</t>
  </si>
  <si>
    <t>Respuesta inmediata</t>
  </si>
  <si>
    <t>Actualiza interfaz sin recargas.</t>
  </si>
  <si>
    <t>Algunas acciones requieren recarga.</t>
  </si>
  <si>
    <t>JSON y localStorage</t>
  </si>
  <si>
    <t>Archivo JSON válido</t>
  </si>
  <si>
    <t>Contiene mínimo 10 registros y estructura correcta.</t>
  </si>
  <si>
    <t>JSON incompleto o con errores menores.</t>
  </si>
  <si>
    <t>No cumple requisitos mínimos.</t>
  </si>
  <si>
    <t>Uso real del JSON</t>
  </si>
  <si>
    <t>El JSON participa realmente en la solución.</t>
  </si>
  <si>
    <t>Uso limitado o superficial.</t>
  </si>
  <si>
    <t>No se utiliza realmente.</t>
  </si>
  <si>
    <t>Uso funcional de localStorage</t>
  </si>
  <si>
    <t>Guarda información importante del flujo.</t>
  </si>
  <si>
    <t>Guarda información parcial.</t>
  </si>
  <si>
    <t>No utiliza localStorage funcionalmente.</t>
  </si>
  <si>
    <t>Recuperación de información</t>
  </si>
  <si>
    <t>Recupera datos correctamente al recargar.</t>
  </si>
  <si>
    <t>Recuperación parcial o con errores.</t>
  </si>
  <si>
    <t>No recupera información.</t>
  </si>
  <si>
    <t>Eliminación y actualización</t>
  </si>
  <si>
    <t>Permite modificar o eliminar datos guardados.</t>
  </si>
  <si>
    <t>Funciona parcialmente.</t>
  </si>
  <si>
    <t>No permite actualizar o eliminar datos.</t>
  </si>
  <si>
    <t>Navegación y Experiencia de Usuario</t>
  </si>
  <si>
    <t>Menú principal funcional</t>
  </si>
  <si>
    <t>Visible y funcional en todas las páginas.</t>
  </si>
  <si>
    <t>Presenta errores menores.</t>
  </si>
  <si>
    <t>No funciona correctamente.</t>
  </si>
  <si>
    <t>Página activa visible</t>
  </si>
  <si>
    <t>Indica claramente dónde se encuentra el usuario.</t>
  </si>
  <si>
    <t>Indicación poco visible.</t>
  </si>
  <si>
    <t>No indica página activa.</t>
  </si>
  <si>
    <t>Flujo lógico de navegación</t>
  </si>
  <si>
    <t>El usuario comprende fácilmente el flujo del sistema.</t>
  </si>
  <si>
    <t>El flujo tiene algunas confusiones.</t>
  </si>
  <si>
    <t>El flujo es confuso o inconsistente.</t>
  </si>
  <si>
    <t>Botones claros</t>
  </si>
  <si>
    <t>Los botones comunican correctamente su acción.</t>
  </si>
  <si>
    <t>Algunos botones son ambiguos.</t>
  </si>
  <si>
    <t>Los botones generan confusión.</t>
  </si>
  <si>
    <t>Mensajes comprensibles</t>
  </si>
  <si>
    <t>El sistema explica claramente lo ocurrido.</t>
  </si>
  <si>
    <t>Los mensajes son poco claros.</t>
  </si>
  <si>
    <t>No existen mensajes adecuados.</t>
  </si>
  <si>
    <t>Prevención de errores</t>
  </si>
  <si>
    <t>El sistema ayuda al usuario antes de cometer errores.</t>
  </si>
  <si>
    <t>Ayuda parcial.</t>
  </si>
  <si>
    <t>No previene errores.</t>
  </si>
  <si>
    <t>Navegación responsiva</t>
  </si>
  <si>
    <t>El menú funciona correctamente en móvil.</t>
  </si>
  <si>
    <t>Presenta problemas menores.</t>
  </si>
  <si>
    <t>Contraste y navegación adecuados.</t>
  </si>
  <si>
    <t>No considera accesibilidad.</t>
  </si>
  <si>
    <t>Publicación, defensa y entrega</t>
  </si>
  <si>
    <t>Sitio publicado</t>
  </si>
  <si>
    <t>La URL funciona correctamente y está accesible.</t>
  </si>
  <si>
    <t>Presenta problemas menores de acceso.</t>
  </si>
  <si>
    <t>El sitio no está publicado.</t>
  </si>
  <si>
    <t>Carpeta organizada</t>
  </si>
  <si>
    <t>El proyecto tiene estructura clara de carpetas.</t>
  </si>
  <si>
    <t>Archivos desordenados.</t>
  </si>
  <si>
    <t>Documento Avance 1</t>
  </si>
  <si>
    <t>Entrega completa y coherente.</t>
  </si>
  <si>
    <t>Entrega incompleta.</t>
  </si>
  <si>
    <t>No entrega documento.</t>
  </si>
  <si>
    <t>Defensa técnica</t>
  </si>
  <si>
    <t>Explica correctamente el funcionamiento y código implementado.</t>
  </si>
  <si>
    <t>Explicación parcial o limitada.</t>
  </si>
  <si>
    <t>No puede explicar el sistema.</t>
  </si>
  <si>
    <t>Cumplimiento de restricciones</t>
  </si>
  <si>
    <t>No utiliza frameworks ni elementos prohibidos.</t>
  </si>
  <si>
    <t>Presenta dudas o incumplimientos menores.</t>
  </si>
  <si>
    <t>Incumple restricciones importantes.</t>
  </si>
  <si>
    <t>Total Puntos:</t>
  </si>
  <si>
    <t>Total Porcentaje:</t>
  </si>
  <si>
    <t>Criterio</t>
  </si>
  <si>
    <t>2 puntos</t>
  </si>
  <si>
    <t>1 punto</t>
  </si>
  <si>
    <t>0 puntos</t>
  </si>
  <si>
    <t>Obtenido</t>
  </si>
  <si>
    <t>Porcentaje Obtenido</t>
  </si>
  <si>
    <t>Observaciones:</t>
  </si>
  <si>
    <r>
      <t xml:space="preserve">Usa correctamente </t>
    </r>
    <r>
      <rPr>
        <sz val="10"/>
        <color theme="1"/>
        <rFont val="Arial Unicode MS"/>
      </rPr>
      <t>header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nav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main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section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footer</t>
    </r>
    <r>
      <rPr>
        <sz val="10"/>
        <color theme="1"/>
        <rFont val="Calibri"/>
        <family val="2"/>
        <scheme val="minor"/>
      </rPr>
      <t>.</t>
    </r>
  </si>
  <si>
    <r>
      <t xml:space="preserve">Imágenes con </t>
    </r>
    <r>
      <rPr>
        <sz val="10"/>
        <color theme="1"/>
        <rFont val="Arial Unicode MS"/>
      </rPr>
      <t>alt</t>
    </r>
    <r>
      <rPr>
        <sz val="10"/>
        <color theme="1"/>
        <rFont val="Calibri"/>
        <family val="2"/>
        <scheme val="minor"/>
      </rPr>
      <t>, textos legibles y buen contraste.</t>
    </r>
  </si>
  <si>
    <r>
      <t xml:space="preserve">Usa correctamente </t>
    </r>
    <r>
      <rPr>
        <sz val="10"/>
        <color theme="1"/>
        <rFont val="Arial Unicode MS"/>
      </rPr>
      <t>h1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h2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h3</t>
    </r>
    <r>
      <rPr>
        <sz val="10"/>
        <color theme="1"/>
        <rFont val="Calibri"/>
        <family val="2"/>
        <scheme val="minor"/>
      </rPr>
      <t>.</t>
    </r>
  </si>
  <si>
    <r>
      <t xml:space="preserve">Todas las imágenes tienen </t>
    </r>
    <r>
      <rPr>
        <sz val="10"/>
        <color theme="1"/>
        <rFont val="Arial Unicode MS"/>
      </rPr>
      <t>alt</t>
    </r>
    <r>
      <rPr>
        <sz val="10"/>
        <color theme="1"/>
        <rFont val="Calibri"/>
        <family val="2"/>
        <scheme val="minor"/>
      </rPr>
      <t>.</t>
    </r>
  </si>
  <si>
    <r>
      <t xml:space="preserve">Algunas imágenes no tienen </t>
    </r>
    <r>
      <rPr>
        <sz val="10"/>
        <color theme="1"/>
        <rFont val="Arial Unicode MS"/>
      </rPr>
      <t>alt</t>
    </r>
    <r>
      <rPr>
        <sz val="10"/>
        <color theme="1"/>
        <rFont val="Calibri"/>
        <family val="2"/>
        <scheme val="minor"/>
      </rPr>
      <t>.</t>
    </r>
  </si>
  <si>
    <r>
      <t xml:space="preserve">No utiliza </t>
    </r>
    <r>
      <rPr>
        <sz val="10"/>
        <color theme="1"/>
        <rFont val="Arial Unicode MS"/>
      </rPr>
      <t>alt</t>
    </r>
    <r>
      <rPr>
        <sz val="10"/>
        <color theme="1"/>
        <rFont val="Calibri"/>
        <family val="2"/>
        <scheme val="minor"/>
      </rPr>
      <t>.</t>
    </r>
  </si>
  <si>
    <r>
      <t xml:space="preserve">Todo el diseño está separado en archivos </t>
    </r>
    <r>
      <rPr>
        <sz val="10"/>
        <color theme="1"/>
        <rFont val="Arial Unicode MS"/>
      </rPr>
      <t>.css</t>
    </r>
    <r>
      <rPr>
        <sz val="10"/>
        <color theme="1"/>
        <rFont val="Calibri"/>
        <family val="2"/>
        <scheme val="minor"/>
      </rPr>
      <t>.</t>
    </r>
  </si>
  <si>
    <r>
      <t xml:space="preserve">Archivos </t>
    </r>
    <r>
      <rPr>
        <b/>
        <sz val="10"/>
        <color theme="1"/>
        <rFont val="Arial Unicode MS"/>
      </rPr>
      <t>.js</t>
    </r>
    <r>
      <rPr>
        <b/>
        <sz val="10"/>
        <color theme="1"/>
        <rFont val="Calibri"/>
        <family val="2"/>
        <scheme val="minor"/>
      </rPr>
      <t xml:space="preserve"> separados</t>
    </r>
  </si>
  <si>
    <t>Utiliza correctamente eventos</t>
  </si>
  <si>
    <t>Estudiante(s)</t>
  </si>
  <si>
    <t>Porcentaje obtenido</t>
  </si>
  <si>
    <t>Nota</t>
  </si>
  <si>
    <t>Evaluación MiniProyecto</t>
  </si>
  <si>
    <t>Total Porcentaje</t>
  </si>
  <si>
    <t>Total Porcentaje Obtenido</t>
  </si>
  <si>
    <t>Defensa Técnica Individual</t>
  </si>
  <si>
    <t>Completitud de la solución</t>
  </si>
  <si>
    <r>
      <rPr>
        <b/>
        <sz val="10"/>
        <color rgb="FF000000"/>
        <rFont val="Aptos Narrow"/>
        <family val="2"/>
      </rPr>
      <t>Comprensión técnica del sistema</t>
    </r>
    <r>
      <rPr>
        <sz val="10"/>
        <color rgb="FF000000"/>
        <rFont val="Aptos Narrow"/>
        <family val="2"/>
      </rPr>
      <t xml:space="preserve">
</t>
    </r>
  </si>
  <si>
    <t>Demuestra comprensión de la arquitectura, estructura del proyecto, módulos implementados e integración entre frontend, backend y base de datos.</t>
  </si>
  <si>
    <r>
      <rPr>
        <b/>
        <sz val="10"/>
        <color rgb="FF000000"/>
        <rFont val="Aptos Narrow"/>
        <family val="2"/>
      </rPr>
      <t>Explicación del código</t>
    </r>
    <r>
      <rPr>
        <sz val="10"/>
        <color rgb="FF000000"/>
        <rFont val="Aptos Narrow"/>
        <family val="2"/>
      </rPr>
      <t xml:space="preserve">
</t>
    </r>
  </si>
  <si>
    <t>Explica con claridad el funcionamiento del código desarrollado, estructuras utilizadas, lógica implementada y comportamiento observable del sistema.</t>
  </si>
  <si>
    <r>
      <rPr>
        <b/>
        <sz val="10"/>
        <color rgb="FF000000"/>
        <rFont val="Aptos Narrow"/>
        <family val="2"/>
      </rPr>
      <t>Justificación de decisiones técnicas</t>
    </r>
    <r>
      <rPr>
        <sz val="10"/>
        <color rgb="FF000000"/>
        <rFont val="Aptos Narrow"/>
        <family val="2"/>
      </rPr>
      <t xml:space="preserve">
</t>
    </r>
  </si>
  <si>
    <t>Justifica por qué se eligieron determinadas soluciones técnicas, estructuras, librerías, patrones o enfoques de implementación.</t>
  </si>
  <si>
    <r>
      <rPr>
        <b/>
        <sz val="10"/>
        <color rgb="FF000000"/>
        <rFont val="Aptos Narrow"/>
        <family val="2"/>
      </rPr>
      <t>Dominio del problema</t>
    </r>
    <r>
      <rPr>
        <sz val="10"/>
        <color rgb="FF000000"/>
        <rFont val="Aptos Narrow"/>
        <family val="2"/>
      </rPr>
      <t xml:space="preserve">
</t>
    </r>
  </si>
  <si>
    <t>Comprende el problema de negocio planteado y explica cómo la solución desarrollada responde a ese contexto funcional.</t>
  </si>
  <si>
    <r>
      <rPr>
        <b/>
        <sz val="10"/>
        <color rgb="FF000000"/>
        <rFont val="Aptos Narrow"/>
        <family val="2"/>
      </rPr>
      <t>Capacidad de respuesta y razonamiento</t>
    </r>
    <r>
      <rPr>
        <sz val="10"/>
        <color rgb="FF000000"/>
        <rFont val="Aptos Narrow"/>
        <family val="2"/>
      </rPr>
      <t xml:space="preserve">
</t>
    </r>
  </si>
  <si>
    <t>Responde preguntas no preparadas, analiza escenarios alternativos y propone ajustes técnicamente coherentes.</t>
  </si>
  <si>
    <r>
      <rPr>
        <b/>
        <sz val="10"/>
        <color rgb="FF000000"/>
        <rFont val="Aptos Narrow"/>
        <family val="2"/>
      </rPr>
      <t>Coherencia implementación-explicación</t>
    </r>
    <r>
      <rPr>
        <sz val="10"/>
        <color rgb="FF000000"/>
        <rFont val="Aptos Narrow"/>
        <family val="2"/>
      </rPr>
      <t xml:space="preserve">
</t>
    </r>
  </si>
  <si>
    <t>Existe consistencia entre lo que el sistema hace, lo que el código muestra y lo que el estudiante explica durante la defensa.</t>
  </si>
  <si>
    <r>
      <rPr>
        <b/>
        <sz val="10"/>
        <color rgb="FF000000"/>
        <rFont val="Aptos Narrow"/>
        <family val="2"/>
      </rPr>
      <t>Dominio global del trabajo</t>
    </r>
    <r>
      <rPr>
        <sz val="10"/>
        <color rgb="FF000000"/>
        <rFont val="Aptos Narrow"/>
        <family val="2"/>
      </rPr>
      <t xml:space="preserve">
.</t>
    </r>
  </si>
  <si>
    <t>Demuestra dominio real sobre el trabajo presentado y capacidad para explicar cualquier parte implementada</t>
  </si>
  <si>
    <t>Solución completa con todos los requerimientos solicitados</t>
  </si>
  <si>
    <t xml:space="preserve">Estudiante: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</si>
</sst>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Arial"/>
      <family val="2"/>
    </font>
    <font>
      <b/>
      <sz val="9"/>
      <color rgb="FF2F5496"/>
      <name val="Arial"/>
      <family val="2"/>
    </font>
    <font>
      <sz val="9"/>
      <name val="Arial"/>
      <family val="2"/>
    </font>
    <font>
      <b/>
      <sz val="12"/>
      <name val="Calibri Light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Aptos Narrow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theme="1"/>
      <name val="Aptos Narrow"/>
      <family val="2"/>
    </font>
    <font>
      <b/>
      <sz val="10"/>
      <color rgb="FF3F3F3F"/>
      <name val="Aptos Narrow"/>
      <family val="2"/>
    </font>
    <font>
      <sz val="9"/>
      <color rgb="FF000000"/>
      <name val="Aptos Narrow"/>
      <family val="2"/>
    </font>
    <font>
      <b/>
      <sz val="9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8" tint="0.79998168889431442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4"/>
      </bottom>
      <diagonal/>
    </border>
    <border>
      <left style="thin">
        <color rgb="FF3F3F3F"/>
      </left>
      <right/>
      <top style="double">
        <color theme="4"/>
      </top>
      <bottom style="thin">
        <color rgb="FF3F3F3F"/>
      </bottom>
      <diagonal/>
    </border>
    <border>
      <left/>
      <right/>
      <top style="double">
        <color theme="4"/>
      </top>
      <bottom style="thin">
        <color rgb="FF3F3F3F"/>
      </bottom>
      <diagonal/>
    </border>
    <border>
      <left/>
      <right style="thin">
        <color rgb="FF3F3F3F"/>
      </right>
      <top style="double">
        <color theme="4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 style="thin">
        <color rgb="FF3F3F3F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0" borderId="3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8" fillId="8" borderId="0" applyNumberFormat="0" applyBorder="0" applyAlignment="0" applyProtection="0"/>
  </cellStyleXfs>
  <cellXfs count="59">
    <xf numFmtId="0" fontId="0" fillId="0" borderId="0" xfId="0"/>
    <xf numFmtId="0" fontId="6" fillId="3" borderId="6" xfId="4" applyFont="1" applyBorder="1" applyAlignment="1">
      <alignment horizontal="center" vertical="center" wrapText="1"/>
    </xf>
    <xf numFmtId="0" fontId="6" fillId="3" borderId="7" xfId="4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4" borderId="8" xfId="5" applyFont="1" applyBorder="1" applyAlignment="1">
      <alignment vertical="center" wrapText="1"/>
    </xf>
    <xf numFmtId="0" fontId="8" fillId="0" borderId="6" xfId="1" applyFont="1" applyBorder="1" applyAlignment="1">
      <alignment horizontal="right" vertical="center" wrapText="1"/>
    </xf>
    <xf numFmtId="0" fontId="8" fillId="0" borderId="6" xfId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2" borderId="6" xfId="2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2" applyFont="1" applyFill="1" applyBorder="1" applyAlignment="1">
      <alignment horizontal="right" vertical="center" wrapText="1"/>
    </xf>
    <xf numFmtId="0" fontId="11" fillId="0" borderId="0" xfId="2" applyFont="1" applyFill="1" applyBorder="1" applyAlignment="1">
      <alignment horizontal="left" vertical="center" wrapText="1"/>
    </xf>
    <xf numFmtId="0" fontId="8" fillId="0" borderId="7" xfId="1" applyFont="1" applyBorder="1" applyAlignment="1">
      <alignment horizontal="right" vertical="center" wrapText="1"/>
    </xf>
    <xf numFmtId="0" fontId="8" fillId="0" borderId="7" xfId="1" applyFont="1" applyBorder="1" applyAlignment="1">
      <alignment horizontal="left" vertical="center" wrapText="1"/>
    </xf>
    <xf numFmtId="0" fontId="6" fillId="4" borderId="4" xfId="5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10" fontId="17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7" fillId="0" borderId="6" xfId="0" applyNumberFormat="1" applyFont="1" applyBorder="1" applyAlignment="1">
      <alignment horizontal="center" vertical="center" wrapText="1"/>
    </xf>
    <xf numFmtId="0" fontId="17" fillId="6" borderId="3" xfId="3" applyFont="1" applyFill="1" applyAlignment="1">
      <alignment horizontal="right" vertical="center" wrapText="1"/>
    </xf>
    <xf numFmtId="10" fontId="17" fillId="6" borderId="3" xfId="3" applyNumberFormat="1" applyFont="1" applyFill="1" applyAlignment="1">
      <alignment horizontal="right" vertical="center" wrapText="1"/>
    </xf>
    <xf numFmtId="10" fontId="17" fillId="6" borderId="3" xfId="3" applyNumberFormat="1" applyFont="1" applyFill="1" applyAlignment="1">
      <alignment horizontal="center" vertical="center" wrapText="1"/>
    </xf>
    <xf numFmtId="0" fontId="6" fillId="3" borderId="5" xfId="4" applyFont="1" applyBorder="1" applyAlignment="1">
      <alignment horizontal="center" vertical="center" wrapText="1"/>
    </xf>
    <xf numFmtId="10" fontId="8" fillId="0" borderId="6" xfId="1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0" fontId="8" fillId="0" borderId="7" xfId="1" applyNumberFormat="1" applyFont="1" applyBorder="1" applyAlignment="1">
      <alignment horizontal="center" vertical="center" wrapText="1"/>
    </xf>
    <xf numFmtId="10" fontId="3" fillId="5" borderId="3" xfId="3" applyNumberFormat="1" applyFill="1" applyAlignment="1">
      <alignment horizontal="center" vertical="center" wrapText="1"/>
    </xf>
    <xf numFmtId="0" fontId="17" fillId="6" borderId="3" xfId="3" applyFont="1" applyFill="1" applyAlignment="1">
      <alignment horizontal="right" vertical="center" wrapText="1"/>
    </xf>
    <xf numFmtId="0" fontId="3" fillId="5" borderId="3" xfId="3" applyFill="1" applyAlignment="1">
      <alignment horizontal="right" vertical="center" wrapText="1"/>
    </xf>
    <xf numFmtId="0" fontId="11" fillId="2" borderId="6" xfId="2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20" fillId="8" borderId="6" xfId="6" applyFont="1" applyBorder="1" applyAlignment="1">
      <alignment horizontal="center" vertical="center" wrapText="1"/>
    </xf>
    <xf numFmtId="10" fontId="20" fillId="8" borderId="7" xfId="6" applyNumberFormat="1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3" fillId="7" borderId="11" xfId="3" applyFont="1" applyFill="1" applyBorder="1" applyAlignment="1">
      <alignment vertical="center" wrapText="1"/>
    </xf>
    <xf numFmtId="10" fontId="23" fillId="7" borderId="11" xfId="3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4" fillId="2" borderId="2" xfId="2" applyFont="1" applyAlignment="1">
      <alignment vertical="center" wrapText="1"/>
    </xf>
    <xf numFmtId="0" fontId="24" fillId="2" borderId="12" xfId="2" applyFont="1" applyBorder="1" applyAlignment="1">
      <alignment horizontal="center" vertical="center" wrapText="1"/>
    </xf>
    <xf numFmtId="0" fontId="24" fillId="2" borderId="13" xfId="2" applyFont="1" applyBorder="1" applyAlignment="1">
      <alignment horizontal="center" vertical="center" wrapText="1"/>
    </xf>
    <xf numFmtId="0" fontId="24" fillId="2" borderId="14" xfId="2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8" borderId="8" xfId="6" applyFont="1" applyBorder="1" applyAlignment="1">
      <alignment horizontal="right" vertical="center" wrapText="1"/>
    </xf>
    <xf numFmtId="0" fontId="20" fillId="8" borderId="16" xfId="6" applyFont="1" applyBorder="1" applyAlignment="1">
      <alignment horizontal="right" vertical="center" wrapText="1"/>
    </xf>
    <xf numFmtId="0" fontId="20" fillId="8" borderId="17" xfId="6" applyFont="1" applyBorder="1" applyAlignment="1">
      <alignment horizontal="right" vertical="center" wrapText="1"/>
    </xf>
    <xf numFmtId="0" fontId="19" fillId="2" borderId="18" xfId="2" applyFont="1" applyBorder="1" applyAlignment="1">
      <alignment horizontal="left" vertical="center" wrapText="1"/>
    </xf>
    <xf numFmtId="0" fontId="19" fillId="2" borderId="10" xfId="2" applyFont="1" applyBorder="1" applyAlignment="1">
      <alignment horizontal="left" vertical="center" wrapText="1"/>
    </xf>
    <xf numFmtId="0" fontId="19" fillId="2" borderId="19" xfId="2" applyFont="1" applyBorder="1" applyAlignment="1">
      <alignment horizontal="left" vertical="center" wrapText="1"/>
    </xf>
    <xf numFmtId="0" fontId="27" fillId="4" borderId="15" xfId="5" applyFont="1" applyBorder="1" applyAlignment="1">
      <alignment horizontal="center" vertical="center" wrapText="1"/>
    </xf>
    <xf numFmtId="0" fontId="27" fillId="4" borderId="0" xfId="5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</cellXfs>
  <cellStyles count="7">
    <cellStyle name="20% - Énfasis5" xfId="6" builtinId="46"/>
    <cellStyle name="Énfasis1" xfId="4" builtinId="29"/>
    <cellStyle name="Énfasis6" xfId="5" builtinId="49"/>
    <cellStyle name="Normal" xfId="0" builtinId="0"/>
    <cellStyle name="Salida" xfId="2" builtinId="21"/>
    <cellStyle name="Título 3" xfId="1" builtinId="18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workbookViewId="0">
      <selection activeCell="A133" sqref="A133:A137"/>
    </sheetView>
  </sheetViews>
  <sheetFormatPr baseColWidth="10" defaultColWidth="8.7265625" defaultRowHeight="13"/>
  <cols>
    <col min="1" max="1" width="27.7265625" style="3" customWidth="1"/>
    <col min="2" max="2" width="22.7265625" style="3" customWidth="1"/>
    <col min="3" max="3" width="18" style="3" customWidth="1"/>
    <col min="4" max="4" width="23.90625" style="3" customWidth="1"/>
    <col min="5" max="5" width="8.7265625" style="10"/>
    <col min="6" max="16384" width="8.7265625" style="3"/>
  </cols>
  <sheetData>
    <row r="1" spans="1:5" ht="14">
      <c r="A1" s="58" t="s">
        <v>348</v>
      </c>
      <c r="B1" s="58"/>
      <c r="C1" s="58"/>
      <c r="D1" s="58"/>
      <c r="E1" s="58"/>
    </row>
    <row r="2" spans="1:5" ht="14">
      <c r="A2" s="33"/>
      <c r="B2" s="33"/>
      <c r="C2" s="33"/>
      <c r="D2" s="33"/>
      <c r="E2" s="16"/>
    </row>
    <row r="3" spans="1:5" ht="15.5">
      <c r="A3" s="17" t="s">
        <v>345</v>
      </c>
      <c r="B3" s="34"/>
      <c r="C3" s="35"/>
      <c r="D3" s="18" t="s">
        <v>346</v>
      </c>
      <c r="E3" s="19">
        <f>E106</f>
        <v>0</v>
      </c>
    </row>
    <row r="4" spans="1:5" ht="15.5">
      <c r="A4" s="20"/>
      <c r="B4" s="34"/>
      <c r="C4" s="35"/>
      <c r="D4" s="18" t="s">
        <v>347</v>
      </c>
      <c r="E4" s="21">
        <f>(E3/100)*100</f>
        <v>0</v>
      </c>
    </row>
    <row r="6" spans="1:5">
      <c r="A6" s="1" t="s">
        <v>329</v>
      </c>
      <c r="B6" s="1" t="s">
        <v>330</v>
      </c>
      <c r="C6" s="1" t="s">
        <v>331</v>
      </c>
      <c r="D6" s="2" t="s">
        <v>332</v>
      </c>
      <c r="E6" s="25" t="s">
        <v>333</v>
      </c>
    </row>
    <row r="7" spans="1:5" ht="26">
      <c r="A7" s="4" t="s">
        <v>120</v>
      </c>
      <c r="B7" s="5" t="s">
        <v>327</v>
      </c>
      <c r="C7" s="6">
        <f>COUNTIF(B8:B11, "&lt;&gt;") * 2</f>
        <v>8</v>
      </c>
      <c r="D7" s="5" t="s">
        <v>328</v>
      </c>
      <c r="E7" s="26">
        <v>0.05</v>
      </c>
    </row>
    <row r="8" spans="1:5" ht="52">
      <c r="A8" s="7" t="s">
        <v>0</v>
      </c>
      <c r="B8" s="8" t="s">
        <v>1</v>
      </c>
      <c r="C8" s="8" t="s">
        <v>2</v>
      </c>
      <c r="D8" s="8" t="s">
        <v>3</v>
      </c>
      <c r="E8" s="27"/>
    </row>
    <row r="9" spans="1:5" ht="39">
      <c r="A9" s="7" t="s">
        <v>4</v>
      </c>
      <c r="B9" s="8" t="s">
        <v>5</v>
      </c>
      <c r="C9" s="8" t="s">
        <v>6</v>
      </c>
      <c r="D9" s="8" t="s">
        <v>7</v>
      </c>
      <c r="E9" s="27"/>
    </row>
    <row r="10" spans="1:5" ht="39">
      <c r="A10" s="7" t="s">
        <v>8</v>
      </c>
      <c r="B10" s="8" t="s">
        <v>9</v>
      </c>
      <c r="C10" s="8" t="s">
        <v>10</v>
      </c>
      <c r="D10" s="8" t="s">
        <v>11</v>
      </c>
      <c r="E10" s="27"/>
    </row>
    <row r="11" spans="1:5" ht="39">
      <c r="A11" s="7" t="s">
        <v>12</v>
      </c>
      <c r="B11" s="8" t="s">
        <v>13</v>
      </c>
      <c r="C11" s="8" t="s">
        <v>14</v>
      </c>
      <c r="D11" s="8" t="s">
        <v>15</v>
      </c>
      <c r="E11" s="27"/>
    </row>
    <row r="12" spans="1:5" ht="15" thickBot="1">
      <c r="A12" s="31" t="s">
        <v>334</v>
      </c>
      <c r="B12" s="31"/>
      <c r="C12" s="31"/>
      <c r="D12" s="31"/>
      <c r="E12" s="29">
        <f>(SUM(E8:E11)/C7)*E7</f>
        <v>0</v>
      </c>
    </row>
    <row r="13" spans="1:5" ht="13.5" thickTop="1">
      <c r="A13" s="9" t="s">
        <v>335</v>
      </c>
      <c r="B13" s="32"/>
      <c r="C13" s="32"/>
      <c r="D13" s="32"/>
    </row>
    <row r="14" spans="1:5">
      <c r="A14" s="11"/>
      <c r="B14" s="12"/>
      <c r="C14" s="12"/>
      <c r="D14" s="12"/>
    </row>
    <row r="15" spans="1:5">
      <c r="A15" s="1" t="s">
        <v>329</v>
      </c>
      <c r="B15" s="1" t="s">
        <v>330</v>
      </c>
      <c r="C15" s="1" t="s">
        <v>331</v>
      </c>
      <c r="D15" s="2" t="s">
        <v>332</v>
      </c>
      <c r="E15" s="25" t="s">
        <v>333</v>
      </c>
    </row>
    <row r="16" spans="1:5">
      <c r="A16" s="4" t="s">
        <v>119</v>
      </c>
      <c r="B16" s="13" t="s">
        <v>327</v>
      </c>
      <c r="C16" s="14">
        <f>COUNTIF(B17:B26, "&lt;&gt;") * 2</f>
        <v>20</v>
      </c>
      <c r="D16" s="13" t="s">
        <v>328</v>
      </c>
      <c r="E16" s="28">
        <v>0.1</v>
      </c>
    </row>
    <row r="17" spans="1:5" ht="52">
      <c r="A17" s="7" t="s">
        <v>16</v>
      </c>
      <c r="B17" s="8" t="s">
        <v>17</v>
      </c>
      <c r="C17" s="8" t="s">
        <v>18</v>
      </c>
      <c r="D17" s="8" t="s">
        <v>19</v>
      </c>
      <c r="E17" s="27"/>
    </row>
    <row r="18" spans="1:5" ht="39">
      <c r="A18" s="7" t="s">
        <v>20</v>
      </c>
      <c r="B18" s="8" t="s">
        <v>21</v>
      </c>
      <c r="C18" s="8" t="s">
        <v>22</v>
      </c>
      <c r="D18" s="8" t="s">
        <v>23</v>
      </c>
      <c r="E18" s="27"/>
    </row>
    <row r="19" spans="1:5" ht="39">
      <c r="A19" s="7" t="s">
        <v>24</v>
      </c>
      <c r="B19" s="8" t="s">
        <v>25</v>
      </c>
      <c r="C19" s="8" t="s">
        <v>26</v>
      </c>
      <c r="D19" s="8" t="s">
        <v>27</v>
      </c>
      <c r="E19" s="27"/>
    </row>
    <row r="20" spans="1:5" ht="39">
      <c r="A20" s="7" t="s">
        <v>28</v>
      </c>
      <c r="B20" s="8" t="s">
        <v>29</v>
      </c>
      <c r="C20" s="8" t="s">
        <v>30</v>
      </c>
      <c r="D20" s="8" t="s">
        <v>31</v>
      </c>
      <c r="E20" s="27"/>
    </row>
    <row r="21" spans="1:5" ht="39">
      <c r="A21" s="7" t="s">
        <v>32</v>
      </c>
      <c r="B21" s="8" t="s">
        <v>33</v>
      </c>
      <c r="C21" s="8" t="s">
        <v>34</v>
      </c>
      <c r="D21" s="8" t="s">
        <v>35</v>
      </c>
      <c r="E21" s="27"/>
    </row>
    <row r="22" spans="1:5" ht="39">
      <c r="A22" s="7" t="s">
        <v>36</v>
      </c>
      <c r="B22" s="8" t="s">
        <v>37</v>
      </c>
      <c r="C22" s="8" t="s">
        <v>38</v>
      </c>
      <c r="D22" s="8" t="s">
        <v>39</v>
      </c>
      <c r="E22" s="27"/>
    </row>
    <row r="23" spans="1:5" ht="39">
      <c r="A23" s="7" t="s">
        <v>40</v>
      </c>
      <c r="B23" s="8" t="s">
        <v>41</v>
      </c>
      <c r="C23" s="8" t="s">
        <v>42</v>
      </c>
      <c r="D23" s="8" t="s">
        <v>43</v>
      </c>
      <c r="E23" s="27"/>
    </row>
    <row r="24" spans="1:5" ht="39">
      <c r="A24" s="7" t="s">
        <v>44</v>
      </c>
      <c r="B24" s="8" t="s">
        <v>45</v>
      </c>
      <c r="C24" s="8" t="s">
        <v>46</v>
      </c>
      <c r="D24" s="8" t="s">
        <v>47</v>
      </c>
      <c r="E24" s="27"/>
    </row>
    <row r="25" spans="1:5" ht="39">
      <c r="A25" s="7" t="s">
        <v>48</v>
      </c>
      <c r="B25" s="8" t="s">
        <v>336</v>
      </c>
      <c r="C25" s="8" t="s">
        <v>49</v>
      </c>
      <c r="D25" s="8" t="s">
        <v>50</v>
      </c>
      <c r="E25" s="27"/>
    </row>
    <row r="26" spans="1:5" ht="39">
      <c r="A26" s="7" t="s">
        <v>51</v>
      </c>
      <c r="B26" s="8" t="s">
        <v>337</v>
      </c>
      <c r="C26" s="8" t="s">
        <v>52</v>
      </c>
      <c r="D26" s="8" t="s">
        <v>53</v>
      </c>
      <c r="E26" s="27"/>
    </row>
    <row r="27" spans="1:5" ht="15" thickBot="1">
      <c r="A27" s="31" t="s">
        <v>334</v>
      </c>
      <c r="B27" s="31"/>
      <c r="C27" s="31"/>
      <c r="D27" s="31"/>
      <c r="E27" s="29">
        <f>(SUM(E17:E26)/C16)*E16</f>
        <v>0</v>
      </c>
    </row>
    <row r="28" spans="1:5" ht="13.5" thickTop="1">
      <c r="A28" s="9" t="s">
        <v>335</v>
      </c>
      <c r="B28" s="32"/>
      <c r="C28" s="32"/>
      <c r="D28" s="32"/>
    </row>
    <row r="30" spans="1:5">
      <c r="A30" s="1" t="s">
        <v>329</v>
      </c>
      <c r="B30" s="1" t="s">
        <v>330</v>
      </c>
      <c r="C30" s="1" t="s">
        <v>331</v>
      </c>
      <c r="D30" s="2" t="s">
        <v>332</v>
      </c>
      <c r="E30" s="25" t="s">
        <v>333</v>
      </c>
    </row>
    <row r="31" spans="1:5">
      <c r="A31" s="4" t="s">
        <v>118</v>
      </c>
      <c r="B31" s="5" t="s">
        <v>327</v>
      </c>
      <c r="C31" s="6">
        <f>COUNTIF(B32:B47, "&lt;&gt;") * 2</f>
        <v>32</v>
      </c>
      <c r="D31" s="5" t="s">
        <v>328</v>
      </c>
      <c r="E31" s="26">
        <v>0.3</v>
      </c>
    </row>
    <row r="32" spans="1:5" ht="39">
      <c r="A32" s="7" t="s">
        <v>54</v>
      </c>
      <c r="B32" s="8" t="s">
        <v>55</v>
      </c>
      <c r="C32" s="8" t="s">
        <v>56</v>
      </c>
      <c r="D32" s="8" t="s">
        <v>57</v>
      </c>
      <c r="E32" s="27"/>
    </row>
    <row r="33" spans="1:5" ht="39">
      <c r="A33" s="7" t="s">
        <v>58</v>
      </c>
      <c r="B33" s="8" t="s">
        <v>59</v>
      </c>
      <c r="C33" s="8" t="s">
        <v>60</v>
      </c>
      <c r="D33" s="8" t="s">
        <v>61</v>
      </c>
      <c r="E33" s="27"/>
    </row>
    <row r="34" spans="1:5" ht="39">
      <c r="A34" s="7" t="s">
        <v>62</v>
      </c>
      <c r="B34" s="8" t="s">
        <v>63</v>
      </c>
      <c r="C34" s="8" t="s">
        <v>64</v>
      </c>
      <c r="D34" s="8" t="s">
        <v>65</v>
      </c>
      <c r="E34" s="27"/>
    </row>
    <row r="35" spans="1:5" ht="39">
      <c r="A35" s="7" t="s">
        <v>66</v>
      </c>
      <c r="B35" s="8" t="s">
        <v>67</v>
      </c>
      <c r="C35" s="8" t="s">
        <v>68</v>
      </c>
      <c r="D35" s="8" t="s">
        <v>69</v>
      </c>
      <c r="E35" s="27"/>
    </row>
    <row r="36" spans="1:5" ht="39">
      <c r="A36" s="7" t="s">
        <v>70</v>
      </c>
      <c r="B36" s="8" t="s">
        <v>71</v>
      </c>
      <c r="C36" s="8" t="s">
        <v>72</v>
      </c>
      <c r="D36" s="8" t="s">
        <v>73</v>
      </c>
      <c r="E36" s="27"/>
    </row>
    <row r="37" spans="1:5" ht="39">
      <c r="A37" s="7" t="s">
        <v>74</v>
      </c>
      <c r="B37" s="8" t="s">
        <v>75</v>
      </c>
      <c r="C37" s="8" t="s">
        <v>76</v>
      </c>
      <c r="D37" s="8" t="s">
        <v>77</v>
      </c>
      <c r="E37" s="27"/>
    </row>
    <row r="38" spans="1:5" ht="39">
      <c r="A38" s="7" t="s">
        <v>78</v>
      </c>
      <c r="B38" s="8" t="s">
        <v>79</v>
      </c>
      <c r="C38" s="8" t="s">
        <v>80</v>
      </c>
      <c r="D38" s="8" t="s">
        <v>81</v>
      </c>
      <c r="E38" s="27"/>
    </row>
    <row r="39" spans="1:5" ht="39">
      <c r="A39" s="7" t="s">
        <v>82</v>
      </c>
      <c r="B39" s="8" t="s">
        <v>83</v>
      </c>
      <c r="C39" s="8" t="s">
        <v>84</v>
      </c>
      <c r="D39" s="8" t="s">
        <v>85</v>
      </c>
      <c r="E39" s="27"/>
    </row>
    <row r="40" spans="1:5" ht="39">
      <c r="A40" s="7" t="s">
        <v>86</v>
      </c>
      <c r="B40" s="8" t="s">
        <v>87</v>
      </c>
      <c r="C40" s="8" t="s">
        <v>88</v>
      </c>
      <c r="D40" s="8" t="s">
        <v>89</v>
      </c>
      <c r="E40" s="27"/>
    </row>
    <row r="41" spans="1:5" ht="39">
      <c r="A41" s="7" t="s">
        <v>90</v>
      </c>
      <c r="B41" s="8" t="s">
        <v>91</v>
      </c>
      <c r="C41" s="8" t="s">
        <v>92</v>
      </c>
      <c r="D41" s="8" t="s">
        <v>93</v>
      </c>
      <c r="E41" s="27"/>
    </row>
    <row r="42" spans="1:5" ht="39">
      <c r="A42" s="7" t="s">
        <v>94</v>
      </c>
      <c r="B42" s="8" t="s">
        <v>95</v>
      </c>
      <c r="C42" s="8" t="s">
        <v>96</v>
      </c>
      <c r="D42" s="8" t="s">
        <v>97</v>
      </c>
      <c r="E42" s="27"/>
    </row>
    <row r="43" spans="1:5" ht="39">
      <c r="A43" s="7" t="s">
        <v>98</v>
      </c>
      <c r="B43" s="8" t="s">
        <v>99</v>
      </c>
      <c r="C43" s="8" t="s">
        <v>100</v>
      </c>
      <c r="D43" s="8" t="s">
        <v>101</v>
      </c>
      <c r="E43" s="27"/>
    </row>
    <row r="44" spans="1:5" ht="39">
      <c r="A44" s="7" t="s">
        <v>102</v>
      </c>
      <c r="B44" s="8" t="s">
        <v>103</v>
      </c>
      <c r="C44" s="8" t="s">
        <v>104</v>
      </c>
      <c r="D44" s="8" t="s">
        <v>105</v>
      </c>
      <c r="E44" s="27"/>
    </row>
    <row r="45" spans="1:5" ht="39">
      <c r="A45" s="7" t="s">
        <v>106</v>
      </c>
      <c r="B45" s="8" t="s">
        <v>107</v>
      </c>
      <c r="C45" s="8" t="s">
        <v>108</v>
      </c>
      <c r="D45" s="8" t="s">
        <v>109</v>
      </c>
      <c r="E45" s="27"/>
    </row>
    <row r="46" spans="1:5" ht="39">
      <c r="A46" s="7" t="s">
        <v>110</v>
      </c>
      <c r="B46" s="8" t="s">
        <v>111</v>
      </c>
      <c r="C46" s="8" t="s">
        <v>112</v>
      </c>
      <c r="D46" s="8" t="s">
        <v>113</v>
      </c>
      <c r="E46" s="27"/>
    </row>
    <row r="47" spans="1:5" ht="39">
      <c r="A47" s="7" t="s">
        <v>114</v>
      </c>
      <c r="B47" s="8" t="s">
        <v>115</v>
      </c>
      <c r="C47" s="8" t="s">
        <v>116</v>
      </c>
      <c r="D47" s="8" t="s">
        <v>117</v>
      </c>
      <c r="E47" s="27"/>
    </row>
    <row r="48" spans="1:5" ht="15" thickBot="1">
      <c r="A48" s="31" t="s">
        <v>334</v>
      </c>
      <c r="B48" s="31"/>
      <c r="C48" s="31"/>
      <c r="D48" s="31"/>
      <c r="E48" s="29">
        <f>(SUM(E32:E47)/C31)*E31</f>
        <v>0</v>
      </c>
    </row>
    <row r="49" spans="1:5" ht="13.5" thickTop="1">
      <c r="A49" s="9" t="s">
        <v>335</v>
      </c>
      <c r="B49" s="32"/>
      <c r="C49" s="32"/>
      <c r="D49" s="32"/>
    </row>
    <row r="51" spans="1:5">
      <c r="A51" s="1" t="s">
        <v>329</v>
      </c>
      <c r="B51" s="1" t="s">
        <v>330</v>
      </c>
      <c r="C51" s="1" t="s">
        <v>331</v>
      </c>
      <c r="D51" s="2" t="s">
        <v>332</v>
      </c>
      <c r="E51" s="25" t="s">
        <v>333</v>
      </c>
    </row>
    <row r="52" spans="1:5">
      <c r="A52" s="15" t="s">
        <v>121</v>
      </c>
      <c r="B52" s="5" t="s">
        <v>327</v>
      </c>
      <c r="C52" s="6">
        <f>COUNTIF(B53:B68, "&lt;&gt;") * 2</f>
        <v>32</v>
      </c>
      <c r="D52" s="5" t="s">
        <v>328</v>
      </c>
      <c r="E52" s="26">
        <v>0.2</v>
      </c>
    </row>
    <row r="53" spans="1:5" ht="39">
      <c r="A53" s="7" t="s">
        <v>122</v>
      </c>
      <c r="B53" s="8" t="s">
        <v>123</v>
      </c>
      <c r="C53" s="8" t="s">
        <v>124</v>
      </c>
      <c r="D53" s="8" t="s">
        <v>125</v>
      </c>
      <c r="E53" s="27"/>
    </row>
    <row r="54" spans="1:5" ht="39">
      <c r="A54" s="7" t="s">
        <v>126</v>
      </c>
      <c r="B54" s="8" t="s">
        <v>127</v>
      </c>
      <c r="C54" s="8" t="s">
        <v>128</v>
      </c>
      <c r="D54" s="8" t="s">
        <v>129</v>
      </c>
      <c r="E54" s="27"/>
    </row>
    <row r="55" spans="1:5" ht="39">
      <c r="A55" s="7" t="s">
        <v>130</v>
      </c>
      <c r="B55" s="8" t="s">
        <v>131</v>
      </c>
      <c r="C55" s="8" t="s">
        <v>132</v>
      </c>
      <c r="D55" s="8" t="s">
        <v>133</v>
      </c>
      <c r="E55" s="27"/>
    </row>
    <row r="56" spans="1:5" ht="26">
      <c r="A56" s="7" t="s">
        <v>134</v>
      </c>
      <c r="B56" s="8" t="s">
        <v>135</v>
      </c>
      <c r="C56" s="8" t="s">
        <v>136</v>
      </c>
      <c r="D56" s="8" t="s">
        <v>137</v>
      </c>
      <c r="E56" s="27"/>
    </row>
    <row r="57" spans="1:5" ht="26">
      <c r="A57" s="7" t="s">
        <v>138</v>
      </c>
      <c r="B57" s="8" t="s">
        <v>139</v>
      </c>
      <c r="C57" s="8" t="s">
        <v>140</v>
      </c>
      <c r="D57" s="8" t="s">
        <v>141</v>
      </c>
      <c r="E57" s="27"/>
    </row>
    <row r="58" spans="1:5" ht="39">
      <c r="A58" s="7" t="s">
        <v>142</v>
      </c>
      <c r="B58" s="8" t="s">
        <v>143</v>
      </c>
      <c r="C58" s="8" t="s">
        <v>144</v>
      </c>
      <c r="D58" s="8" t="s">
        <v>145</v>
      </c>
      <c r="E58" s="27"/>
    </row>
    <row r="59" spans="1:5" ht="39">
      <c r="A59" s="7" t="s">
        <v>146</v>
      </c>
      <c r="B59" s="8" t="s">
        <v>147</v>
      </c>
      <c r="C59" s="8" t="s">
        <v>148</v>
      </c>
      <c r="D59" s="8" t="s">
        <v>149</v>
      </c>
      <c r="E59" s="27"/>
    </row>
    <row r="60" spans="1:5" ht="26">
      <c r="A60" s="7" t="s">
        <v>98</v>
      </c>
      <c r="B60" s="8" t="s">
        <v>150</v>
      </c>
      <c r="C60" s="8" t="s">
        <v>100</v>
      </c>
      <c r="D60" s="8" t="s">
        <v>151</v>
      </c>
      <c r="E60" s="27"/>
    </row>
    <row r="61" spans="1:5" ht="39">
      <c r="A61" s="7" t="s">
        <v>152</v>
      </c>
      <c r="B61" s="8" t="s">
        <v>153</v>
      </c>
      <c r="C61" s="8" t="s">
        <v>104</v>
      </c>
      <c r="D61" s="8" t="s">
        <v>154</v>
      </c>
      <c r="E61" s="27"/>
    </row>
    <row r="62" spans="1:5" ht="26">
      <c r="A62" s="7" t="s">
        <v>155</v>
      </c>
      <c r="B62" s="8" t="s">
        <v>156</v>
      </c>
      <c r="C62" s="8" t="s">
        <v>157</v>
      </c>
      <c r="D62" s="8" t="s">
        <v>158</v>
      </c>
      <c r="E62" s="27"/>
    </row>
    <row r="63" spans="1:5" ht="39">
      <c r="A63" s="7" t="s">
        <v>159</v>
      </c>
      <c r="B63" s="8" t="s">
        <v>160</v>
      </c>
      <c r="C63" s="8" t="s">
        <v>161</v>
      </c>
      <c r="D63" s="8" t="s">
        <v>162</v>
      </c>
      <c r="E63" s="27"/>
    </row>
    <row r="64" spans="1:5" ht="26">
      <c r="A64" s="7" t="s">
        <v>163</v>
      </c>
      <c r="B64" s="8" t="s">
        <v>164</v>
      </c>
      <c r="C64" s="8" t="s">
        <v>165</v>
      </c>
      <c r="D64" s="8" t="s">
        <v>166</v>
      </c>
      <c r="E64" s="27"/>
    </row>
    <row r="65" spans="1:5" ht="26">
      <c r="A65" s="7" t="s">
        <v>167</v>
      </c>
      <c r="B65" s="8" t="s">
        <v>168</v>
      </c>
      <c r="C65" s="8" t="s">
        <v>169</v>
      </c>
      <c r="D65" s="8" t="s">
        <v>85</v>
      </c>
      <c r="E65" s="27"/>
    </row>
    <row r="66" spans="1:5" ht="39">
      <c r="A66" s="7" t="s">
        <v>170</v>
      </c>
      <c r="B66" s="8" t="s">
        <v>171</v>
      </c>
      <c r="C66" s="8" t="s">
        <v>172</v>
      </c>
      <c r="D66" s="8" t="s">
        <v>173</v>
      </c>
      <c r="E66" s="27"/>
    </row>
    <row r="67" spans="1:5" ht="39">
      <c r="A67" s="7" t="s">
        <v>174</v>
      </c>
      <c r="B67" s="8" t="s">
        <v>175</v>
      </c>
      <c r="C67" s="8" t="s">
        <v>176</v>
      </c>
      <c r="D67" s="8" t="s">
        <v>177</v>
      </c>
      <c r="E67" s="27"/>
    </row>
    <row r="68" spans="1:5" ht="39">
      <c r="A68" s="7" t="s">
        <v>178</v>
      </c>
      <c r="B68" s="8" t="s">
        <v>179</v>
      </c>
      <c r="C68" s="8" t="s">
        <v>180</v>
      </c>
      <c r="D68" s="8" t="s">
        <v>181</v>
      </c>
      <c r="E68" s="27"/>
    </row>
    <row r="69" spans="1:5" ht="15" thickBot="1">
      <c r="A69" s="31" t="s">
        <v>334</v>
      </c>
      <c r="B69" s="31"/>
      <c r="C69" s="31"/>
      <c r="D69" s="31"/>
      <c r="E69" s="29">
        <f>(SUM(E53:E68)/C52)*E52</f>
        <v>0</v>
      </c>
    </row>
    <row r="70" spans="1:5" ht="13.5" thickTop="1">
      <c r="A70" s="9" t="s">
        <v>335</v>
      </c>
      <c r="B70" s="32"/>
      <c r="C70" s="32"/>
      <c r="D70" s="32"/>
    </row>
    <row r="72" spans="1:5">
      <c r="A72" s="1" t="s">
        <v>329</v>
      </c>
      <c r="B72" s="1" t="s">
        <v>330</v>
      </c>
      <c r="C72" s="1" t="s">
        <v>331</v>
      </c>
      <c r="D72" s="2" t="s">
        <v>332</v>
      </c>
      <c r="E72" s="25" t="s">
        <v>333</v>
      </c>
    </row>
    <row r="73" spans="1:5">
      <c r="A73" s="15" t="s">
        <v>182</v>
      </c>
      <c r="B73" s="5" t="s">
        <v>327</v>
      </c>
      <c r="C73" s="6">
        <f>COUNTIF(B74:B78, "&lt;&gt;") * 2</f>
        <v>10</v>
      </c>
      <c r="D73" s="5" t="s">
        <v>328</v>
      </c>
      <c r="E73" s="26">
        <v>0.05</v>
      </c>
    </row>
    <row r="74" spans="1:5" ht="26">
      <c r="A74" s="7" t="s">
        <v>183</v>
      </c>
      <c r="B74" s="8" t="s">
        <v>338</v>
      </c>
      <c r="C74" s="8" t="s">
        <v>184</v>
      </c>
      <c r="D74" s="8" t="s">
        <v>185</v>
      </c>
      <c r="E74" s="27"/>
    </row>
    <row r="75" spans="1:5" ht="26">
      <c r="A75" s="7" t="s">
        <v>186</v>
      </c>
      <c r="B75" s="8" t="s">
        <v>187</v>
      </c>
      <c r="C75" s="8" t="s">
        <v>188</v>
      </c>
      <c r="D75" s="8" t="s">
        <v>129</v>
      </c>
      <c r="E75" s="27"/>
    </row>
    <row r="76" spans="1:5" ht="26">
      <c r="A76" s="7" t="s">
        <v>189</v>
      </c>
      <c r="B76" s="8" t="s">
        <v>339</v>
      </c>
      <c r="C76" s="8" t="s">
        <v>340</v>
      </c>
      <c r="D76" s="8" t="s">
        <v>341</v>
      </c>
      <c r="E76" s="27"/>
    </row>
    <row r="77" spans="1:5" ht="26">
      <c r="A77" s="7" t="s">
        <v>190</v>
      </c>
      <c r="B77" s="8" t="s">
        <v>191</v>
      </c>
      <c r="C77" s="8" t="s">
        <v>192</v>
      </c>
      <c r="D77" s="8" t="s">
        <v>193</v>
      </c>
      <c r="E77" s="27"/>
    </row>
    <row r="78" spans="1:5" ht="26">
      <c r="A78" s="7" t="s">
        <v>194</v>
      </c>
      <c r="B78" s="8" t="s">
        <v>195</v>
      </c>
      <c r="C78" s="8" t="s">
        <v>196</v>
      </c>
      <c r="D78" s="8" t="s">
        <v>197</v>
      </c>
      <c r="E78" s="27"/>
    </row>
    <row r="79" spans="1:5" ht="15" thickBot="1">
      <c r="A79" s="31" t="s">
        <v>334</v>
      </c>
      <c r="B79" s="31"/>
      <c r="C79" s="31"/>
      <c r="D79" s="31"/>
      <c r="E79" s="29">
        <f>(SUM(E74:E78)/C73)*E73</f>
        <v>0</v>
      </c>
    </row>
    <row r="80" spans="1:5" ht="13.5" thickTop="1">
      <c r="A80" s="9" t="s">
        <v>335</v>
      </c>
      <c r="B80" s="32"/>
      <c r="C80" s="32"/>
      <c r="D80" s="32"/>
    </row>
    <row r="82" spans="1:5">
      <c r="A82" s="1" t="s">
        <v>329</v>
      </c>
      <c r="B82" s="1" t="s">
        <v>330</v>
      </c>
      <c r="C82" s="1" t="s">
        <v>331</v>
      </c>
      <c r="D82" s="2" t="s">
        <v>332</v>
      </c>
      <c r="E82" s="25" t="s">
        <v>333</v>
      </c>
    </row>
    <row r="83" spans="1:5">
      <c r="A83" s="4" t="s">
        <v>198</v>
      </c>
      <c r="B83" s="5" t="s">
        <v>327</v>
      </c>
      <c r="C83" s="6">
        <f>COUNTIF(B84:B91, "&lt;&gt;") * 2</f>
        <v>16</v>
      </c>
      <c r="D83" s="5" t="s">
        <v>328</v>
      </c>
      <c r="E83" s="26">
        <v>0.1</v>
      </c>
    </row>
    <row r="84" spans="1:5" ht="26">
      <c r="A84" s="7" t="s">
        <v>199</v>
      </c>
      <c r="B84" s="8" t="s">
        <v>342</v>
      </c>
      <c r="C84" s="8" t="s">
        <v>200</v>
      </c>
      <c r="D84" s="8" t="s">
        <v>201</v>
      </c>
      <c r="E84" s="27"/>
    </row>
    <row r="85" spans="1:5" ht="39">
      <c r="A85" s="7" t="s">
        <v>44</v>
      </c>
      <c r="B85" s="8" t="s">
        <v>202</v>
      </c>
      <c r="C85" s="8" t="s">
        <v>46</v>
      </c>
      <c r="D85" s="8" t="s">
        <v>203</v>
      </c>
      <c r="E85" s="27"/>
    </row>
    <row r="86" spans="1:5" ht="26">
      <c r="A86" s="7" t="s">
        <v>204</v>
      </c>
      <c r="B86" s="8" t="s">
        <v>205</v>
      </c>
      <c r="C86" s="8" t="s">
        <v>206</v>
      </c>
      <c r="D86" s="8" t="s">
        <v>207</v>
      </c>
      <c r="E86" s="27"/>
    </row>
    <row r="87" spans="1:5" ht="26">
      <c r="A87" s="7" t="s">
        <v>208</v>
      </c>
      <c r="B87" s="8" t="s">
        <v>209</v>
      </c>
      <c r="C87" s="8" t="s">
        <v>184</v>
      </c>
      <c r="D87" s="8" t="s">
        <v>210</v>
      </c>
      <c r="E87" s="27"/>
    </row>
    <row r="88" spans="1:5" ht="39">
      <c r="A88" s="7" t="s">
        <v>211</v>
      </c>
      <c r="B88" s="8" t="s">
        <v>212</v>
      </c>
      <c r="C88" s="8" t="s">
        <v>213</v>
      </c>
      <c r="D88" s="8" t="s">
        <v>214</v>
      </c>
      <c r="E88" s="27"/>
    </row>
    <row r="89" spans="1:5" ht="39">
      <c r="A89" s="7" t="s">
        <v>215</v>
      </c>
      <c r="B89" s="8" t="s">
        <v>216</v>
      </c>
      <c r="C89" s="8" t="s">
        <v>180</v>
      </c>
      <c r="D89" s="8" t="s">
        <v>217</v>
      </c>
      <c r="E89" s="27"/>
    </row>
    <row r="90" spans="1:5" ht="26">
      <c r="A90" s="7" t="s">
        <v>218</v>
      </c>
      <c r="B90" s="8" t="s">
        <v>219</v>
      </c>
      <c r="C90" s="8" t="s">
        <v>220</v>
      </c>
      <c r="D90" s="8" t="s">
        <v>221</v>
      </c>
      <c r="E90" s="27"/>
    </row>
    <row r="91" spans="1:5" ht="26">
      <c r="A91" s="7" t="s">
        <v>222</v>
      </c>
      <c r="B91" s="8" t="s">
        <v>223</v>
      </c>
      <c r="C91" s="8" t="s">
        <v>224</v>
      </c>
      <c r="D91" s="8" t="s">
        <v>225</v>
      </c>
      <c r="E91" s="27"/>
    </row>
    <row r="92" spans="1:5" ht="15" thickBot="1">
      <c r="A92" s="31" t="s">
        <v>334</v>
      </c>
      <c r="B92" s="31"/>
      <c r="C92" s="31"/>
      <c r="D92" s="31"/>
      <c r="E92" s="29">
        <f>(SUM(E84:E91)/C83)*E83</f>
        <v>0</v>
      </c>
    </row>
    <row r="93" spans="1:5" ht="13.5" thickTop="1">
      <c r="A93" s="9" t="s">
        <v>335</v>
      </c>
      <c r="B93" s="32"/>
      <c r="C93" s="32"/>
      <c r="D93" s="32"/>
    </row>
    <row r="95" spans="1:5">
      <c r="A95" s="1" t="s">
        <v>329</v>
      </c>
      <c r="B95" s="1" t="s">
        <v>330</v>
      </c>
      <c r="C95" s="1" t="s">
        <v>331</v>
      </c>
      <c r="D95" s="2" t="s">
        <v>332</v>
      </c>
      <c r="E95" s="25" t="s">
        <v>333</v>
      </c>
    </row>
    <row r="96" spans="1:5">
      <c r="A96" s="4" t="s">
        <v>226</v>
      </c>
      <c r="B96" s="5" t="s">
        <v>327</v>
      </c>
      <c r="C96" s="6">
        <f>COUNTIF(B97:B104, "&lt;&gt;") * 2</f>
        <v>16</v>
      </c>
      <c r="D96" s="5" t="s">
        <v>328</v>
      </c>
      <c r="E96" s="26">
        <v>0.1</v>
      </c>
    </row>
    <row r="97" spans="1:5" ht="39">
      <c r="A97" s="7" t="s">
        <v>343</v>
      </c>
      <c r="B97" s="8" t="s">
        <v>227</v>
      </c>
      <c r="C97" s="8" t="s">
        <v>228</v>
      </c>
      <c r="D97" s="8" t="s">
        <v>229</v>
      </c>
      <c r="E97" s="27"/>
    </row>
    <row r="98" spans="1:5" ht="26">
      <c r="A98" s="7" t="s">
        <v>230</v>
      </c>
      <c r="B98" s="8" t="s">
        <v>344</v>
      </c>
      <c r="C98" s="8" t="s">
        <v>231</v>
      </c>
      <c r="D98" s="8" t="s">
        <v>232</v>
      </c>
      <c r="E98" s="27"/>
    </row>
    <row r="99" spans="1:5" ht="26">
      <c r="A99" s="7" t="s">
        <v>233</v>
      </c>
      <c r="B99" s="8" t="s">
        <v>234</v>
      </c>
      <c r="C99" s="8" t="s">
        <v>235</v>
      </c>
      <c r="D99" s="8" t="s">
        <v>236</v>
      </c>
      <c r="E99" s="27"/>
    </row>
    <row r="100" spans="1:5" ht="26">
      <c r="A100" s="7" t="s">
        <v>237</v>
      </c>
      <c r="B100" s="8" t="s">
        <v>238</v>
      </c>
      <c r="C100" s="8" t="s">
        <v>239</v>
      </c>
      <c r="D100" s="8" t="s">
        <v>240</v>
      </c>
      <c r="E100" s="27"/>
    </row>
    <row r="101" spans="1:5" ht="26">
      <c r="A101" s="7" t="s">
        <v>241</v>
      </c>
      <c r="B101" s="8" t="s">
        <v>242</v>
      </c>
      <c r="C101" s="8" t="s">
        <v>243</v>
      </c>
      <c r="D101" s="8" t="s">
        <v>244</v>
      </c>
      <c r="E101" s="27"/>
    </row>
    <row r="102" spans="1:5" ht="26">
      <c r="A102" s="7" t="s">
        <v>245</v>
      </c>
      <c r="B102" s="8" t="s">
        <v>246</v>
      </c>
      <c r="C102" s="8" t="s">
        <v>247</v>
      </c>
      <c r="D102" s="8" t="s">
        <v>248</v>
      </c>
      <c r="E102" s="27"/>
    </row>
    <row r="103" spans="1:5" ht="26">
      <c r="A103" s="7" t="s">
        <v>249</v>
      </c>
      <c r="B103" s="8" t="s">
        <v>250</v>
      </c>
      <c r="C103" s="8" t="s">
        <v>251</v>
      </c>
      <c r="D103" s="8" t="s">
        <v>252</v>
      </c>
      <c r="E103" s="27"/>
    </row>
    <row r="104" spans="1:5" ht="26">
      <c r="A104" s="7" t="s">
        <v>253</v>
      </c>
      <c r="B104" s="8" t="s">
        <v>254</v>
      </c>
      <c r="C104" s="8" t="s">
        <v>255</v>
      </c>
      <c r="D104" s="8" t="s">
        <v>43</v>
      </c>
      <c r="E104" s="27"/>
    </row>
    <row r="105" spans="1:5" ht="15" thickBot="1">
      <c r="A105" s="31" t="s">
        <v>334</v>
      </c>
      <c r="B105" s="31"/>
      <c r="C105" s="31"/>
      <c r="D105" s="31"/>
      <c r="E105" s="29">
        <f>(SUM(E97:E104)/C96)*E96</f>
        <v>0</v>
      </c>
    </row>
    <row r="106" spans="1:5" ht="13.5" thickTop="1">
      <c r="A106" s="9" t="s">
        <v>335</v>
      </c>
      <c r="B106" s="32"/>
      <c r="C106" s="32"/>
      <c r="D106" s="32"/>
    </row>
    <row r="108" spans="1:5">
      <c r="A108" s="1" t="s">
        <v>329</v>
      </c>
      <c r="B108" s="1" t="s">
        <v>330</v>
      </c>
      <c r="C108" s="1" t="s">
        <v>331</v>
      </c>
      <c r="D108" s="2" t="s">
        <v>332</v>
      </c>
      <c r="E108" s="25" t="s">
        <v>333</v>
      </c>
    </row>
    <row r="109" spans="1:5">
      <c r="A109" s="15" t="s">
        <v>256</v>
      </c>
      <c r="B109" s="5" t="s">
        <v>327</v>
      </c>
      <c r="C109" s="6">
        <f>COUNTIF(B110:B114, "&lt;&gt;") * 2</f>
        <v>10</v>
      </c>
      <c r="D109" s="5" t="s">
        <v>328</v>
      </c>
      <c r="E109" s="26">
        <v>0.05</v>
      </c>
    </row>
    <row r="110" spans="1:5" ht="39">
      <c r="A110" s="7" t="s">
        <v>257</v>
      </c>
      <c r="B110" s="8" t="s">
        <v>258</v>
      </c>
      <c r="C110" s="8" t="s">
        <v>259</v>
      </c>
      <c r="D110" s="8" t="s">
        <v>260</v>
      </c>
      <c r="E110" s="27"/>
    </row>
    <row r="111" spans="1:5" ht="26">
      <c r="A111" s="7" t="s">
        <v>261</v>
      </c>
      <c r="B111" s="8" t="s">
        <v>262</v>
      </c>
      <c r="C111" s="8" t="s">
        <v>263</v>
      </c>
      <c r="D111" s="8" t="s">
        <v>264</v>
      </c>
      <c r="E111" s="27"/>
    </row>
    <row r="112" spans="1:5" ht="26">
      <c r="A112" s="7" t="s">
        <v>265</v>
      </c>
      <c r="B112" s="8" t="s">
        <v>266</v>
      </c>
      <c r="C112" s="8" t="s">
        <v>267</v>
      </c>
      <c r="D112" s="8" t="s">
        <v>268</v>
      </c>
      <c r="E112" s="27"/>
    </row>
    <row r="113" spans="1:5" ht="26">
      <c r="A113" s="7" t="s">
        <v>269</v>
      </c>
      <c r="B113" s="8" t="s">
        <v>270</v>
      </c>
      <c r="C113" s="8" t="s">
        <v>271</v>
      </c>
      <c r="D113" s="8" t="s">
        <v>272</v>
      </c>
      <c r="E113" s="27"/>
    </row>
    <row r="114" spans="1:5" ht="26">
      <c r="A114" s="7" t="s">
        <v>273</v>
      </c>
      <c r="B114" s="8" t="s">
        <v>274</v>
      </c>
      <c r="C114" s="8" t="s">
        <v>275</v>
      </c>
      <c r="D114" s="8" t="s">
        <v>276</v>
      </c>
      <c r="E114" s="27"/>
    </row>
    <row r="115" spans="1:5" ht="15" thickBot="1">
      <c r="A115" s="31" t="s">
        <v>334</v>
      </c>
      <c r="B115" s="31"/>
      <c r="C115" s="31"/>
      <c r="D115" s="31"/>
      <c r="E115" s="29">
        <f>(SUM(E110:E114)/C109)*E109</f>
        <v>0</v>
      </c>
    </row>
    <row r="116" spans="1:5" ht="13.5" thickTop="1">
      <c r="A116" s="9" t="s">
        <v>335</v>
      </c>
      <c r="B116" s="32"/>
      <c r="C116" s="32"/>
      <c r="D116" s="32"/>
    </row>
    <row r="118" spans="1:5">
      <c r="A118" s="1" t="s">
        <v>329</v>
      </c>
      <c r="B118" s="1" t="s">
        <v>330</v>
      </c>
      <c r="C118" s="1" t="s">
        <v>331</v>
      </c>
      <c r="D118" s="2" t="s">
        <v>332</v>
      </c>
      <c r="E118" s="25" t="s">
        <v>333</v>
      </c>
    </row>
    <row r="119" spans="1:5" ht="26">
      <c r="A119" s="4" t="s">
        <v>277</v>
      </c>
      <c r="B119" s="5" t="s">
        <v>327</v>
      </c>
      <c r="C119" s="6">
        <f>COUNTIF(B120:B124, "&lt;&gt;") * 2</f>
        <v>10</v>
      </c>
      <c r="D119" s="5" t="s">
        <v>328</v>
      </c>
      <c r="E119" s="26">
        <v>0.03</v>
      </c>
    </row>
    <row r="120" spans="1:5" ht="26">
      <c r="A120" s="7" t="s">
        <v>278</v>
      </c>
      <c r="B120" s="8" t="s">
        <v>279</v>
      </c>
      <c r="C120" s="8" t="s">
        <v>280</v>
      </c>
      <c r="D120" s="8" t="s">
        <v>281</v>
      </c>
      <c r="E120" s="27"/>
    </row>
    <row r="121" spans="1:5" ht="26">
      <c r="A121" s="7" t="s">
        <v>282</v>
      </c>
      <c r="B121" s="8" t="s">
        <v>283</v>
      </c>
      <c r="C121" s="8" t="s">
        <v>284</v>
      </c>
      <c r="D121" s="8" t="s">
        <v>285</v>
      </c>
      <c r="E121" s="27"/>
    </row>
    <row r="122" spans="1:5" ht="39">
      <c r="A122" s="7" t="s">
        <v>286</v>
      </c>
      <c r="B122" s="8" t="s">
        <v>287</v>
      </c>
      <c r="C122" s="8" t="s">
        <v>288</v>
      </c>
      <c r="D122" s="8" t="s">
        <v>289</v>
      </c>
      <c r="E122" s="27"/>
    </row>
    <row r="123" spans="1:5" ht="26">
      <c r="A123" s="7" t="s">
        <v>290</v>
      </c>
      <c r="B123" s="8" t="s">
        <v>291</v>
      </c>
      <c r="C123" s="8" t="s">
        <v>292</v>
      </c>
      <c r="D123" s="8" t="s">
        <v>293</v>
      </c>
      <c r="E123" s="27"/>
    </row>
    <row r="124" spans="1:5" ht="26">
      <c r="A124" s="7" t="s">
        <v>294</v>
      </c>
      <c r="B124" s="8" t="s">
        <v>295</v>
      </c>
      <c r="C124" s="8" t="s">
        <v>296</v>
      </c>
      <c r="D124" s="8" t="s">
        <v>297</v>
      </c>
      <c r="E124" s="27"/>
    </row>
    <row r="125" spans="1:5" ht="26">
      <c r="A125" s="7" t="s">
        <v>298</v>
      </c>
      <c r="B125" s="8" t="s">
        <v>299</v>
      </c>
      <c r="C125" s="8" t="s">
        <v>300</v>
      </c>
      <c r="D125" s="8" t="s">
        <v>301</v>
      </c>
      <c r="E125" s="27"/>
    </row>
    <row r="126" spans="1:5" ht="26">
      <c r="A126" s="7" t="s">
        <v>302</v>
      </c>
      <c r="B126" s="8" t="s">
        <v>303</v>
      </c>
      <c r="C126" s="8" t="s">
        <v>304</v>
      </c>
      <c r="D126" s="8" t="s">
        <v>177</v>
      </c>
      <c r="E126" s="27"/>
    </row>
    <row r="127" spans="1:5" ht="26">
      <c r="A127" s="7" t="s">
        <v>51</v>
      </c>
      <c r="B127" s="8" t="s">
        <v>305</v>
      </c>
      <c r="C127" s="8" t="s">
        <v>304</v>
      </c>
      <c r="D127" s="8" t="s">
        <v>306</v>
      </c>
      <c r="E127" s="27"/>
    </row>
    <row r="128" spans="1:5" ht="15" thickBot="1">
      <c r="A128" s="31" t="s">
        <v>334</v>
      </c>
      <c r="B128" s="31"/>
      <c r="C128" s="31"/>
      <c r="D128" s="31"/>
      <c r="E128" s="29">
        <f>(SUM(E120:E127)/C119)*E119</f>
        <v>0</v>
      </c>
    </row>
    <row r="129" spans="1:5" ht="13.5" thickTop="1">
      <c r="A129" s="9" t="s">
        <v>335</v>
      </c>
      <c r="B129" s="32"/>
      <c r="C129" s="32"/>
      <c r="D129" s="32"/>
    </row>
    <row r="131" spans="1:5">
      <c r="A131" s="1" t="s">
        <v>329</v>
      </c>
      <c r="B131" s="1" t="s">
        <v>330</v>
      </c>
      <c r="C131" s="1" t="s">
        <v>331</v>
      </c>
      <c r="D131" s="2" t="s">
        <v>332</v>
      </c>
      <c r="E131" s="25" t="s">
        <v>333</v>
      </c>
    </row>
    <row r="132" spans="1:5">
      <c r="A132" s="15" t="s">
        <v>307</v>
      </c>
      <c r="B132" s="5" t="s">
        <v>327</v>
      </c>
      <c r="C132" s="6">
        <f>COUNTIF(B133:B137, "&lt;&gt;") * 2</f>
        <v>10</v>
      </c>
      <c r="D132" s="5" t="s">
        <v>328</v>
      </c>
      <c r="E132" s="26">
        <v>0.02</v>
      </c>
    </row>
    <row r="133" spans="1:5" ht="39">
      <c r="A133" s="7" t="s">
        <v>308</v>
      </c>
      <c r="B133" s="8" t="s">
        <v>309</v>
      </c>
      <c r="C133" s="8" t="s">
        <v>310</v>
      </c>
      <c r="D133" s="8" t="s">
        <v>311</v>
      </c>
      <c r="E133" s="27"/>
    </row>
    <row r="134" spans="1:5" ht="26">
      <c r="A134" s="7" t="s">
        <v>312</v>
      </c>
      <c r="B134" s="8" t="s">
        <v>313</v>
      </c>
      <c r="C134" s="8" t="s">
        <v>235</v>
      </c>
      <c r="D134" s="8" t="s">
        <v>314</v>
      </c>
      <c r="E134" s="27"/>
    </row>
    <row r="135" spans="1:5" ht="26">
      <c r="A135" s="7" t="s">
        <v>315</v>
      </c>
      <c r="B135" s="8" t="s">
        <v>316</v>
      </c>
      <c r="C135" s="8" t="s">
        <v>317</v>
      </c>
      <c r="D135" s="8" t="s">
        <v>318</v>
      </c>
      <c r="E135" s="27"/>
    </row>
    <row r="136" spans="1:5" ht="39">
      <c r="A136" s="7" t="s">
        <v>319</v>
      </c>
      <c r="B136" s="8" t="s">
        <v>320</v>
      </c>
      <c r="C136" s="8" t="s">
        <v>321</v>
      </c>
      <c r="D136" s="8" t="s">
        <v>322</v>
      </c>
      <c r="E136" s="27"/>
    </row>
    <row r="137" spans="1:5" ht="39">
      <c r="A137" s="7" t="s">
        <v>323</v>
      </c>
      <c r="B137" s="8" t="s">
        <v>324</v>
      </c>
      <c r="C137" s="8" t="s">
        <v>325</v>
      </c>
      <c r="D137" s="8" t="s">
        <v>326</v>
      </c>
      <c r="E137" s="27"/>
    </row>
    <row r="138" spans="1:5" ht="15" thickBot="1">
      <c r="A138" s="31" t="s">
        <v>334</v>
      </c>
      <c r="B138" s="31"/>
      <c r="C138" s="31"/>
      <c r="D138" s="31"/>
      <c r="E138" s="29">
        <f>(SUM(E133:E137)/C132)*E132</f>
        <v>0</v>
      </c>
    </row>
    <row r="139" spans="1:5" ht="13.5" thickTop="1">
      <c r="A139" s="9" t="s">
        <v>335</v>
      </c>
      <c r="B139" s="32"/>
      <c r="C139" s="32"/>
      <c r="D139" s="32"/>
    </row>
    <row r="141" spans="1:5" ht="16" thickBot="1">
      <c r="A141" s="22" t="s">
        <v>349</v>
      </c>
      <c r="B141" s="23">
        <f>E132+E119+E109+E96+E83+E73+E52+E16+E7+E31</f>
        <v>1</v>
      </c>
      <c r="C141" s="30" t="s">
        <v>350</v>
      </c>
      <c r="D141" s="30"/>
      <c r="E141" s="24">
        <f>E138+E128+E115+E105+E92+E79+E69+E48+E27+E12</f>
        <v>0</v>
      </c>
    </row>
    <row r="142" spans="1:5" ht="13.5" thickTop="1"/>
    <row r="143" spans="1:5" ht="14.5">
      <c r="A143" s="56" t="s">
        <v>351</v>
      </c>
      <c r="B143" s="57"/>
      <c r="C143" s="57"/>
      <c r="D143" s="57"/>
      <c r="E143" s="57"/>
    </row>
    <row r="144" spans="1:5" ht="14.5">
      <c r="A144" s="53" t="s">
        <v>368</v>
      </c>
      <c r="B144" s="54"/>
      <c r="C144" s="54"/>
      <c r="D144" s="54"/>
      <c r="E144" s="55"/>
    </row>
    <row r="145" spans="1:5" ht="14.5" customHeight="1">
      <c r="A145" s="50" t="s">
        <v>327</v>
      </c>
      <c r="B145" s="51"/>
      <c r="C145" s="51"/>
      <c r="D145" s="52"/>
      <c r="E145" s="36">
        <f>COUNTIF(B147:B154, "&lt;&gt;") * 2</f>
        <v>16</v>
      </c>
    </row>
    <row r="146" spans="1:5" ht="14.5" customHeight="1">
      <c r="A146" s="51" t="s">
        <v>349</v>
      </c>
      <c r="B146" s="51"/>
      <c r="C146" s="51"/>
      <c r="D146" s="52"/>
      <c r="E146" s="37">
        <v>0.03</v>
      </c>
    </row>
    <row r="147" spans="1:5" ht="26">
      <c r="A147" s="38" t="s">
        <v>353</v>
      </c>
      <c r="B147" s="49" t="s">
        <v>354</v>
      </c>
      <c r="C147" s="49"/>
      <c r="D147" s="49"/>
      <c r="E147" s="39"/>
    </row>
    <row r="148" spans="1:5" ht="26">
      <c r="A148" s="38" t="s">
        <v>355</v>
      </c>
      <c r="B148" s="49" t="s">
        <v>356</v>
      </c>
      <c r="C148" s="49"/>
      <c r="D148" s="49"/>
      <c r="E148" s="39"/>
    </row>
    <row r="149" spans="1:5" ht="39">
      <c r="A149" s="38" t="s">
        <v>357</v>
      </c>
      <c r="B149" s="49" t="s">
        <v>358</v>
      </c>
      <c r="C149" s="49"/>
      <c r="D149" s="49"/>
      <c r="E149" s="39"/>
    </row>
    <row r="150" spans="1:5" ht="26">
      <c r="A150" s="38" t="s">
        <v>359</v>
      </c>
      <c r="B150" s="49" t="s">
        <v>360</v>
      </c>
      <c r="C150" s="49"/>
      <c r="D150" s="49"/>
      <c r="E150" s="39"/>
    </row>
    <row r="151" spans="1:5" ht="39">
      <c r="A151" s="38" t="s">
        <v>361</v>
      </c>
      <c r="B151" s="49" t="s">
        <v>362</v>
      </c>
      <c r="C151" s="49"/>
      <c r="D151" s="49"/>
      <c r="E151" s="39"/>
    </row>
    <row r="152" spans="1:5">
      <c r="A152" s="40" t="s">
        <v>352</v>
      </c>
      <c r="B152" s="49" t="s">
        <v>367</v>
      </c>
      <c r="C152" s="49"/>
      <c r="D152" s="49"/>
      <c r="E152" s="39"/>
    </row>
    <row r="153" spans="1:5" ht="39">
      <c r="A153" s="38" t="s">
        <v>363</v>
      </c>
      <c r="B153" s="49" t="s">
        <v>364</v>
      </c>
      <c r="C153" s="49"/>
      <c r="D153" s="49"/>
      <c r="E153" s="39"/>
    </row>
    <row r="154" spans="1:5" ht="26">
      <c r="A154" s="38" t="s">
        <v>365</v>
      </c>
      <c r="B154" s="49" t="s">
        <v>366</v>
      </c>
      <c r="C154" s="49"/>
      <c r="D154" s="49"/>
      <c r="E154" s="39"/>
    </row>
    <row r="155" spans="1:5" ht="13.5" thickBot="1">
      <c r="A155" s="41"/>
      <c r="B155" s="42"/>
      <c r="C155" s="42"/>
      <c r="D155" s="41" t="s">
        <v>334</v>
      </c>
      <c r="E155" s="42">
        <f>(SUM(E147:E154)/E145)*E146</f>
        <v>0</v>
      </c>
    </row>
    <row r="156" spans="1:5" ht="13.5" thickTop="1">
      <c r="A156" s="45" t="s">
        <v>335</v>
      </c>
      <c r="B156" s="46"/>
      <c r="C156" s="47"/>
      <c r="D156" s="47"/>
      <c r="E156" s="48"/>
    </row>
    <row r="157" spans="1:5">
      <c r="A157" s="43"/>
      <c r="B157" s="44"/>
    </row>
    <row r="158" spans="1:5" ht="14.5">
      <c r="A158" s="56" t="s">
        <v>351</v>
      </c>
      <c r="B158" s="57"/>
      <c r="C158" s="57"/>
      <c r="D158" s="57"/>
      <c r="E158" s="57"/>
    </row>
    <row r="159" spans="1:5" ht="14.5">
      <c r="A159" s="53" t="s">
        <v>368</v>
      </c>
      <c r="B159" s="54"/>
      <c r="C159" s="54"/>
      <c r="D159" s="54"/>
      <c r="E159" s="55"/>
    </row>
    <row r="160" spans="1:5">
      <c r="A160" s="50" t="s">
        <v>327</v>
      </c>
      <c r="B160" s="51"/>
      <c r="C160" s="51"/>
      <c r="D160" s="52"/>
      <c r="E160" s="36">
        <f>COUNTIF(B162:B169, "&lt;&gt;") * 2</f>
        <v>16</v>
      </c>
    </row>
    <row r="161" spans="1:5">
      <c r="A161" s="51" t="s">
        <v>349</v>
      </c>
      <c r="B161" s="51"/>
      <c r="C161" s="51"/>
      <c r="D161" s="52"/>
      <c r="E161" s="37">
        <v>0.03</v>
      </c>
    </row>
    <row r="162" spans="1:5" ht="26">
      <c r="A162" s="38" t="s">
        <v>353</v>
      </c>
      <c r="B162" s="49" t="s">
        <v>354</v>
      </c>
      <c r="C162" s="49"/>
      <c r="D162" s="49"/>
      <c r="E162" s="39"/>
    </row>
    <row r="163" spans="1:5" ht="26">
      <c r="A163" s="38" t="s">
        <v>355</v>
      </c>
      <c r="B163" s="49" t="s">
        <v>356</v>
      </c>
      <c r="C163" s="49"/>
      <c r="D163" s="49"/>
      <c r="E163" s="39"/>
    </row>
    <row r="164" spans="1:5" ht="39">
      <c r="A164" s="38" t="s">
        <v>357</v>
      </c>
      <c r="B164" s="49" t="s">
        <v>358</v>
      </c>
      <c r="C164" s="49"/>
      <c r="D164" s="49"/>
      <c r="E164" s="39"/>
    </row>
    <row r="165" spans="1:5" ht="26">
      <c r="A165" s="38" t="s">
        <v>359</v>
      </c>
      <c r="B165" s="49" t="s">
        <v>360</v>
      </c>
      <c r="C165" s="49"/>
      <c r="D165" s="49"/>
      <c r="E165" s="39"/>
    </row>
    <row r="166" spans="1:5" ht="39">
      <c r="A166" s="38" t="s">
        <v>361</v>
      </c>
      <c r="B166" s="49" t="s">
        <v>362</v>
      </c>
      <c r="C166" s="49"/>
      <c r="D166" s="49"/>
      <c r="E166" s="39"/>
    </row>
    <row r="167" spans="1:5">
      <c r="A167" s="40" t="s">
        <v>352</v>
      </c>
      <c r="B167" s="49" t="s">
        <v>367</v>
      </c>
      <c r="C167" s="49"/>
      <c r="D167" s="49"/>
      <c r="E167" s="39"/>
    </row>
    <row r="168" spans="1:5" ht="39">
      <c r="A168" s="38" t="s">
        <v>363</v>
      </c>
      <c r="B168" s="49" t="s">
        <v>364</v>
      </c>
      <c r="C168" s="49"/>
      <c r="D168" s="49"/>
      <c r="E168" s="39"/>
    </row>
    <row r="169" spans="1:5" ht="26">
      <c r="A169" s="38" t="s">
        <v>365</v>
      </c>
      <c r="B169" s="49" t="s">
        <v>366</v>
      </c>
      <c r="C169" s="49"/>
      <c r="D169" s="49"/>
      <c r="E169" s="39"/>
    </row>
    <row r="170" spans="1:5" ht="13.5" thickBot="1">
      <c r="A170" s="41"/>
      <c r="B170" s="42"/>
      <c r="C170" s="42"/>
      <c r="D170" s="41" t="s">
        <v>334</v>
      </c>
      <c r="E170" s="42">
        <f>(SUM(E162:E169)/E160)*E161</f>
        <v>0</v>
      </c>
    </row>
    <row r="171" spans="1:5" ht="13.5" thickTop="1">
      <c r="A171" s="45" t="s">
        <v>335</v>
      </c>
      <c r="B171" s="46"/>
      <c r="C171" s="47"/>
      <c r="D171" s="47"/>
      <c r="E171" s="48"/>
    </row>
  </sheetData>
  <mergeCells count="50">
    <mergeCell ref="B167:D167"/>
    <mergeCell ref="B168:D168"/>
    <mergeCell ref="B169:D169"/>
    <mergeCell ref="B171:E171"/>
    <mergeCell ref="B162:D162"/>
    <mergeCell ref="B163:D163"/>
    <mergeCell ref="B164:D164"/>
    <mergeCell ref="B165:D165"/>
    <mergeCell ref="B166:D166"/>
    <mergeCell ref="A143:E143"/>
    <mergeCell ref="A158:E158"/>
    <mergeCell ref="A159:E159"/>
    <mergeCell ref="A160:D160"/>
    <mergeCell ref="A161:D161"/>
    <mergeCell ref="B156:E156"/>
    <mergeCell ref="B147:D147"/>
    <mergeCell ref="B148:D148"/>
    <mergeCell ref="B149:D149"/>
    <mergeCell ref="B150:D150"/>
    <mergeCell ref="B151:D151"/>
    <mergeCell ref="B153:D153"/>
    <mergeCell ref="B154:D154"/>
    <mergeCell ref="B152:D152"/>
    <mergeCell ref="A145:D145"/>
    <mergeCell ref="A146:D146"/>
    <mergeCell ref="A144:E144"/>
    <mergeCell ref="A92:D92"/>
    <mergeCell ref="B93:D93"/>
    <mergeCell ref="A12:D12"/>
    <mergeCell ref="B13:D13"/>
    <mergeCell ref="A27:D27"/>
    <mergeCell ref="B28:D28"/>
    <mergeCell ref="A48:D48"/>
    <mergeCell ref="B49:D49"/>
    <mergeCell ref="C141:D141"/>
    <mergeCell ref="A138:D138"/>
    <mergeCell ref="B139:D139"/>
    <mergeCell ref="A1:E1"/>
    <mergeCell ref="A2:D2"/>
    <mergeCell ref="B3:C4"/>
    <mergeCell ref="A105:D105"/>
    <mergeCell ref="B106:D106"/>
    <mergeCell ref="A115:D115"/>
    <mergeCell ref="B116:D116"/>
    <mergeCell ref="A128:D128"/>
    <mergeCell ref="B129:D129"/>
    <mergeCell ref="A69:D69"/>
    <mergeCell ref="B70:D70"/>
    <mergeCell ref="A79:D79"/>
    <mergeCell ref="B80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Paniagua</dc:creator>
  <cp:lastModifiedBy>Nathalie  Paniagua López</cp:lastModifiedBy>
  <dcterms:created xsi:type="dcterms:W3CDTF">2015-06-05T18:17:20Z</dcterms:created>
  <dcterms:modified xsi:type="dcterms:W3CDTF">2026-06-01T16:40:37Z</dcterms:modified>
</cp:coreProperties>
</file>